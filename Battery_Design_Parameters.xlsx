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nico/Documents/Programme/Python/HDV Optimization/"/>
    </mc:Choice>
  </mc:AlternateContent>
  <xr:revisionPtr revIDLastSave="0" documentId="13_ncr:1_{08E71BCF-64BC-EC41-90E1-DA89AAA9DB24}" xr6:coauthVersionLast="47" xr6:coauthVersionMax="47" xr10:uidLastSave="{00000000-0000-0000-0000-000000000000}"/>
  <bookViews>
    <workbookView xWindow="160" yWindow="920" windowWidth="14900" windowHeight="17120" activeTab="2" xr2:uid="{0F3F2BD2-3A35-E243-A4EA-2A5F2A11770E}"/>
  </bookViews>
  <sheets>
    <sheet name="Selection" sheetId="1" r:id="rId1"/>
    <sheet name="Input Optimization" sheetId="3" r:id="rId2"/>
    <sheet name="Absolute Thresholds" sheetId="4" r:id="rId3"/>
    <sheet name="Parameter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3" i="2" l="1"/>
  <c r="D105" i="3" s="1"/>
  <c r="AK13" i="2"/>
  <c r="AL13" i="2"/>
  <c r="AJ14" i="2"/>
  <c r="AK14" i="2"/>
  <c r="AL14" i="2"/>
  <c r="AJ15" i="2"/>
  <c r="AK15" i="2"/>
  <c r="AL15" i="2"/>
  <c r="AJ16" i="2"/>
  <c r="D108" i="3" s="1"/>
  <c r="AK16" i="2"/>
  <c r="AL16" i="2"/>
  <c r="AJ17" i="2"/>
  <c r="AK17" i="2"/>
  <c r="AL17" i="2"/>
  <c r="AJ18" i="2"/>
  <c r="D110" i="3" s="1"/>
  <c r="AK18" i="2"/>
  <c r="AL18" i="2"/>
  <c r="AJ19" i="2"/>
  <c r="AK19" i="2"/>
  <c r="AL19" i="2"/>
  <c r="AJ10" i="2"/>
  <c r="D102" i="3" s="1"/>
  <c r="AJ11" i="2"/>
  <c r="D103" i="3" s="1"/>
  <c r="AL11" i="2"/>
  <c r="E103" i="3" s="1"/>
  <c r="AJ12" i="2"/>
  <c r="D104" i="3" s="1"/>
  <c r="D107" i="3"/>
  <c r="D109" i="3"/>
  <c r="D111" i="3"/>
  <c r="E111" i="3"/>
  <c r="J51" i="1"/>
  <c r="J52" i="1"/>
  <c r="J53" i="1" s="1"/>
  <c r="D112" i="3"/>
  <c r="AJ7" i="2"/>
  <c r="D99" i="3" s="1"/>
  <c r="AJ8" i="2"/>
  <c r="D100" i="3" s="1"/>
  <c r="AJ9" i="2"/>
  <c r="D101" i="3" s="1"/>
  <c r="D106" i="3"/>
  <c r="AJ6" i="2"/>
  <c r="D98" i="3" s="1"/>
  <c r="O4" i="4"/>
  <c r="AL7" i="2" s="1"/>
  <c r="E99" i="3" s="1"/>
  <c r="O5" i="4"/>
  <c r="AL8" i="2" s="1"/>
  <c r="E100" i="3" s="1"/>
  <c r="O6" i="4"/>
  <c r="AL9" i="2" s="1"/>
  <c r="E101" i="3" s="1"/>
  <c r="O7" i="4"/>
  <c r="AL10" i="2" s="1"/>
  <c r="E102" i="3" s="1"/>
  <c r="O8" i="4"/>
  <c r="O9" i="4"/>
  <c r="O10" i="4"/>
  <c r="E106" i="3" s="1"/>
  <c r="O11" i="4"/>
  <c r="O12" i="4"/>
  <c r="O13" i="4"/>
  <c r="O14" i="4"/>
  <c r="O15" i="4"/>
  <c r="O16" i="4"/>
  <c r="O3" i="4"/>
  <c r="AL6" i="2" s="1"/>
  <c r="E98" i="3" s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I3" i="4"/>
  <c r="J16" i="4"/>
  <c r="L16" i="4" s="1"/>
  <c r="N16" i="4" s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H4" i="4"/>
  <c r="J4" i="4" s="1"/>
  <c r="L4" i="4" s="1"/>
  <c r="N4" i="4" s="1"/>
  <c r="AK7" i="2" s="1"/>
  <c r="F99" i="3" s="1"/>
  <c r="H5" i="4"/>
  <c r="J5" i="4" s="1"/>
  <c r="L5" i="4" s="1"/>
  <c r="N5" i="4" s="1"/>
  <c r="AK8" i="2" s="1"/>
  <c r="F100" i="3" s="1"/>
  <c r="H6" i="4"/>
  <c r="J6" i="4" s="1"/>
  <c r="L6" i="4" s="1"/>
  <c r="N6" i="4" s="1"/>
  <c r="AK9" i="2" s="1"/>
  <c r="F101" i="3" s="1"/>
  <c r="H7" i="4"/>
  <c r="J7" i="4" s="1"/>
  <c r="L7" i="4" s="1"/>
  <c r="N7" i="4" s="1"/>
  <c r="AK10" i="2" s="1"/>
  <c r="F102" i="3" s="1"/>
  <c r="H8" i="4"/>
  <c r="J8" i="4" s="1"/>
  <c r="L8" i="4" s="1"/>
  <c r="N8" i="4" s="1"/>
  <c r="H9" i="4"/>
  <c r="J9" i="4" s="1"/>
  <c r="L9" i="4" s="1"/>
  <c r="N9" i="4" s="1"/>
  <c r="AK12" i="2" s="1"/>
  <c r="H10" i="4"/>
  <c r="J10" i="4" s="1"/>
  <c r="L10" i="4" s="1"/>
  <c r="N10" i="4" s="1"/>
  <c r="H11" i="4"/>
  <c r="J11" i="4" s="1"/>
  <c r="L11" i="4" s="1"/>
  <c r="N11" i="4" s="1"/>
  <c r="H12" i="4"/>
  <c r="J12" i="4" s="1"/>
  <c r="L12" i="4" s="1"/>
  <c r="N12" i="4" s="1"/>
  <c r="H13" i="4"/>
  <c r="J13" i="4" s="1"/>
  <c r="L13" i="4" s="1"/>
  <c r="N13" i="4" s="1"/>
  <c r="F109" i="3" s="1"/>
  <c r="H14" i="4"/>
  <c r="J14" i="4" s="1"/>
  <c r="L14" i="4" s="1"/>
  <c r="N14" i="4" s="1"/>
  <c r="H15" i="4"/>
  <c r="J15" i="4" s="1"/>
  <c r="L15" i="4" s="1"/>
  <c r="N15" i="4" s="1"/>
  <c r="H16" i="4"/>
  <c r="H3" i="4"/>
  <c r="J3" i="4" s="1"/>
  <c r="L3" i="4" s="1"/>
  <c r="N3" i="4" s="1"/>
  <c r="AK6" i="2" s="1"/>
  <c r="F98" i="3" s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3" i="4"/>
  <c r="L49" i="1"/>
  <c r="L48" i="1"/>
  <c r="L58" i="1"/>
  <c r="N116" i="2"/>
  <c r="L50" i="1"/>
  <c r="L55" i="1"/>
  <c r="L56" i="1"/>
  <c r="J59" i="1"/>
  <c r="J58" i="1"/>
  <c r="J47" i="1"/>
  <c r="F104" i="3" l="1"/>
  <c r="AK11" i="2"/>
  <c r="F103" i="3" s="1"/>
  <c r="E108" i="3"/>
  <c r="F105" i="3"/>
  <c r="E110" i="3"/>
  <c r="F110" i="3"/>
  <c r="F108" i="3"/>
  <c r="E107" i="3"/>
  <c r="E105" i="3"/>
  <c r="AL12" i="2"/>
  <c r="E104" i="3"/>
  <c r="F107" i="3"/>
  <c r="F111" i="3"/>
  <c r="F106" i="3"/>
  <c r="E109" i="3"/>
  <c r="J57" i="1"/>
  <c r="J56" i="1"/>
  <c r="F18" i="3"/>
  <c r="F17" i="3"/>
  <c r="F12" i="3"/>
  <c r="F13" i="3"/>
  <c r="F95" i="3"/>
  <c r="F93" i="3"/>
  <c r="F91" i="3"/>
  <c r="F89" i="3"/>
  <c r="F87" i="3"/>
  <c r="F97" i="3" l="1"/>
  <c r="F96" i="3"/>
  <c r="E95" i="3"/>
  <c r="D95" i="3"/>
  <c r="D94" i="3"/>
  <c r="E93" i="3"/>
  <c r="D93" i="3"/>
  <c r="D92" i="3"/>
  <c r="E91" i="3"/>
  <c r="D91" i="3"/>
  <c r="D90" i="3"/>
  <c r="E89" i="3"/>
  <c r="D89" i="3"/>
  <c r="D88" i="3"/>
  <c r="E87" i="3"/>
  <c r="D87" i="3"/>
  <c r="D86" i="3"/>
  <c r="F72" i="3" l="1"/>
  <c r="F71" i="3"/>
  <c r="F65" i="3"/>
  <c r="F66" i="3"/>
  <c r="F68" i="3" s="1"/>
  <c r="F60" i="3"/>
  <c r="F61" i="3" s="1"/>
  <c r="F26" i="3"/>
  <c r="F29" i="3" s="1"/>
  <c r="F55" i="3"/>
  <c r="F57" i="3" s="1"/>
  <c r="F54" i="3"/>
  <c r="F49" i="3"/>
  <c r="F51" i="3" s="1"/>
  <c r="F48" i="3"/>
  <c r="F43" i="3"/>
  <c r="F46" i="3" s="1"/>
  <c r="F42" i="3"/>
  <c r="F37" i="3"/>
  <c r="F39" i="3" s="1"/>
  <c r="F36" i="3"/>
  <c r="F14" i="3"/>
  <c r="F15" i="3"/>
  <c r="F16" i="3"/>
  <c r="F19" i="3"/>
  <c r="F20" i="3"/>
  <c r="F21" i="3"/>
  <c r="F22" i="3"/>
  <c r="F23" i="3"/>
  <c r="F24" i="3"/>
  <c r="F25" i="3"/>
  <c r="F31" i="3"/>
  <c r="F33" i="3" s="1"/>
  <c r="F6" i="3"/>
  <c r="F7" i="3"/>
  <c r="F8" i="3"/>
  <c r="F9" i="3"/>
  <c r="F10" i="3"/>
  <c r="F11" i="3"/>
  <c r="F5" i="3"/>
  <c r="F84" i="3" l="1"/>
  <c r="F82" i="3"/>
  <c r="F85" i="3"/>
  <c r="F74" i="3"/>
  <c r="F78" i="3"/>
  <c r="F77" i="3"/>
  <c r="F27" i="3"/>
  <c r="F56" i="3"/>
  <c r="F67" i="3"/>
  <c r="F70" i="3"/>
  <c r="F69" i="3"/>
  <c r="F28" i="3"/>
  <c r="F64" i="3"/>
  <c r="F80" i="3"/>
  <c r="F30" i="3"/>
  <c r="F50" i="3"/>
  <c r="F63" i="3"/>
  <c r="F62" i="3"/>
  <c r="F59" i="3"/>
  <c r="F81" i="3"/>
  <c r="F76" i="3"/>
  <c r="F75" i="3"/>
  <c r="F83" i="3"/>
  <c r="F79" i="3"/>
  <c r="F73" i="3"/>
  <c r="F45" i="3"/>
  <c r="F40" i="3"/>
  <c r="F58" i="3"/>
  <c r="F41" i="3"/>
  <c r="F38" i="3"/>
  <c r="F53" i="3"/>
  <c r="F44" i="3"/>
  <c r="F52" i="3"/>
  <c r="F32" i="3"/>
  <c r="F47" i="3"/>
  <c r="F34" i="3"/>
  <c r="F35" i="3"/>
</calcChain>
</file>

<file path=xl/sharedStrings.xml><?xml version="1.0" encoding="utf-8"?>
<sst xmlns="http://schemas.openxmlformats.org/spreadsheetml/2006/main" count="822" uniqueCount="490">
  <si>
    <t>Powertrain</t>
  </si>
  <si>
    <t>Avg. Payload</t>
  </si>
  <si>
    <t>Design Options and Ranges</t>
  </si>
  <si>
    <t>HDV Specifics</t>
  </si>
  <si>
    <t>Vehicle Size</t>
  </si>
  <si>
    <t>Production Year</t>
  </si>
  <si>
    <t>Lifetime Milage</t>
  </si>
  <si>
    <t>Driving Cycle</t>
  </si>
  <si>
    <t>Target Range</t>
  </si>
  <si>
    <t>Electricity Mix of Use</t>
  </si>
  <si>
    <t>Electricity Mix of Production</t>
  </si>
  <si>
    <t>BEV</t>
  </si>
  <si>
    <t>FCEV</t>
  </si>
  <si>
    <t>PHEV-d</t>
  </si>
  <si>
    <t>7.5t</t>
  </si>
  <si>
    <t>12t</t>
  </si>
  <si>
    <t>18t</t>
  </si>
  <si>
    <t>26t</t>
  </si>
  <si>
    <t>32t</t>
  </si>
  <si>
    <t>40t</t>
  </si>
  <si>
    <t>60t</t>
  </si>
  <si>
    <t>Urban delivery</t>
  </si>
  <si>
    <t>Regional delivery</t>
  </si>
  <si>
    <t>Long haul</t>
  </si>
  <si>
    <t>(Electricity Carrier)</t>
  </si>
  <si>
    <t>Hydro</t>
  </si>
  <si>
    <t>Nuclear</t>
  </si>
  <si>
    <t>Gas</t>
  </si>
  <si>
    <t>Solar</t>
  </si>
  <si>
    <t>Wind</t>
  </si>
  <si>
    <t>Biomass</t>
  </si>
  <si>
    <t>Oil</t>
  </si>
  <si>
    <t>Geothermal</t>
  </si>
  <si>
    <t>Waste</t>
  </si>
  <si>
    <t>Biogas CCS</t>
  </si>
  <si>
    <t>Biomass CCS</t>
  </si>
  <si>
    <t>Coal CCS</t>
  </si>
  <si>
    <t>Gas CCS</t>
  </si>
  <si>
    <t>Wood CCS</t>
  </si>
  <si>
    <t>Hydro, reservoir</t>
  </si>
  <si>
    <t>Gas CCGT</t>
  </si>
  <si>
    <t>Gas CHP</t>
  </si>
  <si>
    <t>Solar, thermal</t>
  </si>
  <si>
    <t>Wind, offshore</t>
  </si>
  <si>
    <t>Lignite</t>
  </si>
  <si>
    <t>Battery Specifics</t>
  </si>
  <si>
    <t>Cell Type</t>
  </si>
  <si>
    <t>[-]</t>
  </si>
  <si>
    <t>[t]</t>
  </si>
  <si>
    <t>[y]</t>
  </si>
  <si>
    <t>[km]</t>
  </si>
  <si>
    <t>[kg]</t>
  </si>
  <si>
    <t>[%]</t>
  </si>
  <si>
    <t>[V]</t>
  </si>
  <si>
    <t>[kWh]</t>
  </si>
  <si>
    <t>LFP</t>
  </si>
  <si>
    <t>cylindrical</t>
  </si>
  <si>
    <t>Number of Packs</t>
  </si>
  <si>
    <t>[#]</t>
  </si>
  <si>
    <t>System Target Energy</t>
  </si>
  <si>
    <t>System Target Voltage</t>
  </si>
  <si>
    <t>System Target Power</t>
  </si>
  <si>
    <t>System Level</t>
  </si>
  <si>
    <t>Cell Mass</t>
  </si>
  <si>
    <t>Cell Dimensions: length</t>
  </si>
  <si>
    <t>width</t>
  </si>
  <si>
    <t>height</t>
  </si>
  <si>
    <t>[cm]</t>
  </si>
  <si>
    <t>Cell Nominal Voltage</t>
  </si>
  <si>
    <t>Cell Nominal Currency</t>
  </si>
  <si>
    <t>Cell Nominal Capacity</t>
  </si>
  <si>
    <t>Cell Nominal Energy</t>
  </si>
  <si>
    <t>Cell Gravimetric Energy Density</t>
  </si>
  <si>
    <t>[A]</t>
  </si>
  <si>
    <t>[Ah]</t>
  </si>
  <si>
    <t>[Wh]</t>
  </si>
  <si>
    <t>[Wh/kg]</t>
  </si>
  <si>
    <t>Cell Nominal Cycle Life</t>
  </si>
  <si>
    <t>Yes</t>
  </si>
  <si>
    <t>No</t>
  </si>
  <si>
    <t>[kW]</t>
  </si>
  <si>
    <t>Cell Geometry</t>
  </si>
  <si>
    <t>TerraE INR18650-42E</t>
  </si>
  <si>
    <t>Module Level</t>
  </si>
  <si>
    <t>Pack Level</t>
  </si>
  <si>
    <t>Pack Target Voltage</t>
  </si>
  <si>
    <t>Pack Cooling System Mass</t>
  </si>
  <si>
    <t>Pack Cooling System Design</t>
  </si>
  <si>
    <t>Pack Casing (Main) Material</t>
  </si>
  <si>
    <t>Pack Casing Material (mix)</t>
  </si>
  <si>
    <t>Aluminium</t>
  </si>
  <si>
    <t>Glycol Cooling Plate</t>
  </si>
  <si>
    <t>Liquid Metal Cooling Plate</t>
  </si>
  <si>
    <t>Ventilation</t>
  </si>
  <si>
    <t>[kg/Pack]</t>
  </si>
  <si>
    <t>Coal</t>
  </si>
  <si>
    <t>[#/Pack]</t>
  </si>
  <si>
    <t>Number of Current Sensors on Pack-Level</t>
  </si>
  <si>
    <t>Number of Voltage Sensors on Pack-Level</t>
  </si>
  <si>
    <t>Number of Current Sensors on Module-Level</t>
  </si>
  <si>
    <t>Number of Temperature Sensors on Module-Level</t>
  </si>
  <si>
    <t>[#/Module]</t>
  </si>
  <si>
    <t>Number of Fuses on Pack-Level</t>
  </si>
  <si>
    <t>Number of Relays on Pack-Level</t>
  </si>
  <si>
    <t>Number of Temperature Sensors on Pack-Level</t>
  </si>
  <si>
    <t>Module Casing Material (mix)</t>
  </si>
  <si>
    <t>Steel</t>
  </si>
  <si>
    <t>Aluminium/Plastics</t>
  </si>
  <si>
    <t>Pack Casing Wall Thickness</t>
  </si>
  <si>
    <t>Pack Casing Wall Thicknss</t>
  </si>
  <si>
    <t>[mm]</t>
  </si>
  <si>
    <t>Plastics</t>
  </si>
  <si>
    <t>Module Casing Design</t>
  </si>
  <si>
    <t>Voltage Sensors per parallel line</t>
  </si>
  <si>
    <t>Cell Chemistry</t>
  </si>
  <si>
    <t>Cell Length</t>
  </si>
  <si>
    <t>Cell Width</t>
  </si>
  <si>
    <t>Cell Height</t>
  </si>
  <si>
    <t>Cell Model</t>
  </si>
  <si>
    <t>[#/Grouping]</t>
  </si>
  <si>
    <t>Number of Voltage Sensors per Grouping</t>
  </si>
  <si>
    <t>Available Volume per Pack</t>
  </si>
  <si>
    <t>[cm3]</t>
  </si>
  <si>
    <t>Cell</t>
  </si>
  <si>
    <t>Fuse</t>
  </si>
  <si>
    <t>Fuse Type</t>
  </si>
  <si>
    <t>Fuse Length</t>
  </si>
  <si>
    <t>Fuse Width</t>
  </si>
  <si>
    <t>Fuse Height</t>
  </si>
  <si>
    <t>Fuse Weight</t>
  </si>
  <si>
    <t>Relay</t>
  </si>
  <si>
    <t>Relay Type</t>
  </si>
  <si>
    <t>Relay Length</t>
  </si>
  <si>
    <t>Relay Width</t>
  </si>
  <si>
    <t>Relay Height</t>
  </si>
  <si>
    <t>Relay Weight</t>
  </si>
  <si>
    <t>Current Sensor</t>
  </si>
  <si>
    <t>Current Sensor Type</t>
  </si>
  <si>
    <t>Current Sensor Length</t>
  </si>
  <si>
    <t>Current Sensor Width</t>
  </si>
  <si>
    <t>Current Sensor Height</t>
  </si>
  <si>
    <t>Current Sensor Weight</t>
  </si>
  <si>
    <t>Voltage Sensor</t>
  </si>
  <si>
    <t>Voltage Sensor Type</t>
  </si>
  <si>
    <t>Voltage Sensor Length</t>
  </si>
  <si>
    <t>Voltage Sensor Width</t>
  </si>
  <si>
    <t>Voltage Sensor Height</t>
  </si>
  <si>
    <t>Voltage Sensor Weight</t>
  </si>
  <si>
    <t>Temperature Sensor</t>
  </si>
  <si>
    <t>Temperature Sensor Type</t>
  </si>
  <si>
    <t>Temperature Sensor Length</t>
  </si>
  <si>
    <t>Temperature Sensor Width</t>
  </si>
  <si>
    <t>Temperature Sensor Height</t>
  </si>
  <si>
    <t>Temperature Sensor Weight</t>
  </si>
  <si>
    <t>Battery Parameter Selection</t>
  </si>
  <si>
    <t>AU</t>
  </si>
  <si>
    <t>AT</t>
  </si>
  <si>
    <t>Australia</t>
  </si>
  <si>
    <t>Austria</t>
  </si>
  <si>
    <t>Belgium</t>
  </si>
  <si>
    <t>Bosnia and Herzegovina</t>
  </si>
  <si>
    <t>Brazil</t>
  </si>
  <si>
    <t>Bulgaria</t>
  </si>
  <si>
    <t>Chile</t>
  </si>
  <si>
    <t>China</t>
  </si>
  <si>
    <t>Crotia</t>
  </si>
  <si>
    <t>Czech Republic</t>
  </si>
  <si>
    <t>Denmark</t>
  </si>
  <si>
    <t>Finland</t>
  </si>
  <si>
    <t>France</t>
  </si>
  <si>
    <t>Germany</t>
  </si>
  <si>
    <t>Greece</t>
  </si>
  <si>
    <t>Hungary</t>
  </si>
  <si>
    <t>India</t>
  </si>
  <si>
    <t>Indonesia</t>
  </si>
  <si>
    <t>Iran</t>
  </si>
  <si>
    <t>Ireland</t>
  </si>
  <si>
    <t>Italty</t>
  </si>
  <si>
    <t>Japan</t>
  </si>
  <si>
    <t>Luxembourg</t>
  </si>
  <si>
    <t>Macedonia</t>
  </si>
  <si>
    <t>Malaysia</t>
  </si>
  <si>
    <t>Mexico</t>
  </si>
  <si>
    <t>Netherland</t>
  </si>
  <si>
    <t>Norway</t>
  </si>
  <si>
    <t>Peru</t>
  </si>
  <si>
    <t>Poland</t>
  </si>
  <si>
    <t>Portugal</t>
  </si>
  <si>
    <t>Romania</t>
  </si>
  <si>
    <t>Russia</t>
  </si>
  <si>
    <t>Serbia</t>
  </si>
  <si>
    <t>Saudi Arabia</t>
  </si>
  <si>
    <t>Slovakia</t>
  </si>
  <si>
    <t>Slovenia</t>
  </si>
  <si>
    <t>South Africa</t>
  </si>
  <si>
    <t>South Korea</t>
  </si>
  <si>
    <t>Spain</t>
  </si>
  <si>
    <t>Sweden</t>
  </si>
  <si>
    <t>Switzerland</t>
  </si>
  <si>
    <t>Taiwan</t>
  </si>
  <si>
    <t>Tanzania</t>
  </si>
  <si>
    <t>Thailand</t>
  </si>
  <si>
    <t>Turkey</t>
  </si>
  <si>
    <t>Ukraine</t>
  </si>
  <si>
    <t>United Kingdom</t>
  </si>
  <si>
    <t>Canada</t>
  </si>
  <si>
    <t>United States</t>
  </si>
  <si>
    <t>BE</t>
  </si>
  <si>
    <t>BA</t>
  </si>
  <si>
    <t>BR</t>
  </si>
  <si>
    <t>BG</t>
  </si>
  <si>
    <t>CL</t>
  </si>
  <si>
    <t>CN</t>
  </si>
  <si>
    <t>HR</t>
  </si>
  <si>
    <t>CZ</t>
  </si>
  <si>
    <t>DK</t>
  </si>
  <si>
    <t>FI</t>
  </si>
  <si>
    <t>FR</t>
  </si>
  <si>
    <t>DE</t>
  </si>
  <si>
    <t>GR</t>
  </si>
  <si>
    <t>HU</t>
  </si>
  <si>
    <t>IN</t>
  </si>
  <si>
    <t>ID</t>
  </si>
  <si>
    <t>IR</t>
  </si>
  <si>
    <t>IE</t>
  </si>
  <si>
    <t>IT</t>
  </si>
  <si>
    <t>JP</t>
  </si>
  <si>
    <t>LU</t>
  </si>
  <si>
    <t>MK</t>
  </si>
  <si>
    <t>CA</t>
  </si>
  <si>
    <t>MY</t>
  </si>
  <si>
    <t>MX</t>
  </si>
  <si>
    <t>NL</t>
  </si>
  <si>
    <t>NO</t>
  </si>
  <si>
    <t>PE</t>
  </si>
  <si>
    <t>PL</t>
  </si>
  <si>
    <t>PT</t>
  </si>
  <si>
    <t>RO</t>
  </si>
  <si>
    <t>SA</t>
  </si>
  <si>
    <t>RS</t>
  </si>
  <si>
    <t>SK</t>
  </si>
  <si>
    <t>SI</t>
  </si>
  <si>
    <t>ZA</t>
  </si>
  <si>
    <t>RU</t>
  </si>
  <si>
    <t>KR</t>
  </si>
  <si>
    <t>ES</t>
  </si>
  <si>
    <t>SE</t>
  </si>
  <si>
    <t>CH</t>
  </si>
  <si>
    <t>TW</t>
  </si>
  <si>
    <t>TZ</t>
  </si>
  <si>
    <t>TH</t>
  </si>
  <si>
    <t>TR</t>
  </si>
  <si>
    <t>UA</t>
  </si>
  <si>
    <t>GB</t>
  </si>
  <si>
    <t>US</t>
  </si>
  <si>
    <t>GLO</t>
  </si>
  <si>
    <t>Global</t>
  </si>
  <si>
    <t>EU</t>
  </si>
  <si>
    <t>European Union</t>
  </si>
  <si>
    <t>Hydro Power Share</t>
  </si>
  <si>
    <t>Nuclear Share</t>
  </si>
  <si>
    <t>Gas Share</t>
  </si>
  <si>
    <t>Solar Share</t>
  </si>
  <si>
    <t>Wind Share</t>
  </si>
  <si>
    <t>Biomass Share</t>
  </si>
  <si>
    <t>Coal Share</t>
  </si>
  <si>
    <t>Oil Share</t>
  </si>
  <si>
    <t>Geothermal Share</t>
  </si>
  <si>
    <t>Waste Share</t>
  </si>
  <si>
    <t>Biogas CCS Share</t>
  </si>
  <si>
    <t>Biomass CCS Share</t>
  </si>
  <si>
    <t>Coal CCS Share</t>
  </si>
  <si>
    <t>Gas CCS Share</t>
  </si>
  <si>
    <t>Wood CCS Share</t>
  </si>
  <si>
    <t>Hydro, reservoir Share</t>
  </si>
  <si>
    <t>Gas CCGT Share</t>
  </si>
  <si>
    <t>Gas CHP Share</t>
  </si>
  <si>
    <t>Solar, thermal Share</t>
  </si>
  <si>
    <t>Wind, offshore Share</t>
  </si>
  <si>
    <t>Lignite Share</t>
  </si>
  <si>
    <t>Electricity Mix Production</t>
  </si>
  <si>
    <t>Electricity Mix Usage</t>
  </si>
  <si>
    <t>Pack BMS Model</t>
  </si>
  <si>
    <t>Pack Fuse Model</t>
  </si>
  <si>
    <t>Pack Relay Model</t>
  </si>
  <si>
    <t>Pack Current Sensor Model</t>
  </si>
  <si>
    <t>Pack Voltage Sensor Model</t>
  </si>
  <si>
    <t>Module BMS Model</t>
  </si>
  <si>
    <t>Module Voltage Sensor Model</t>
  </si>
  <si>
    <t>Module Temperature Sensor Model</t>
  </si>
  <si>
    <t>BMS</t>
  </si>
  <si>
    <t>Power Connector</t>
  </si>
  <si>
    <t>fuse_default</t>
  </si>
  <si>
    <t>power_connenctor_default</t>
  </si>
  <si>
    <t>relay_default</t>
  </si>
  <si>
    <t>current_sens_default</t>
  </si>
  <si>
    <t>volt_sens_default</t>
  </si>
  <si>
    <t>temp_sens_default</t>
  </si>
  <si>
    <t>DHT22</t>
  </si>
  <si>
    <t>EVE POWER A31-V2</t>
  </si>
  <si>
    <t>Source</t>
  </si>
  <si>
    <t>https://www.batemo.com/products/batemo-cell-explorer/eve-power-a31-v2/</t>
  </si>
  <si>
    <t>prismatic</t>
  </si>
  <si>
    <t>DMEGC INR21700-57E(A)</t>
  </si>
  <si>
    <t>NCA</t>
  </si>
  <si>
    <t>Closed (foam filling; not sealed)</t>
  </si>
  <si>
    <t>Closed (no filling; not sealed)</t>
  </si>
  <si>
    <t>Open (foam filling)</t>
  </si>
  <si>
    <t>Open (no filling)</t>
  </si>
  <si>
    <t>Closed (no filling; sealed)</t>
  </si>
  <si>
    <t>Closed (foam filling; sealed)</t>
  </si>
  <si>
    <t>pack_bms_default</t>
  </si>
  <si>
    <t>module_bms_default</t>
  </si>
  <si>
    <t>Module BMS Length</t>
  </si>
  <si>
    <t>Module BMS Width</t>
  </si>
  <si>
    <t>Module BMS Height</t>
  </si>
  <si>
    <t>Module BMS Weight</t>
  </si>
  <si>
    <t>Module Voltage Sensor Length</t>
  </si>
  <si>
    <t>Module Voltage Sensor Height</t>
  </si>
  <si>
    <t>Module Voltage Sensor Width</t>
  </si>
  <si>
    <t>Module Voltage Sensor Weight</t>
  </si>
  <si>
    <t>Module Temperature Sensor Length</t>
  </si>
  <si>
    <t>Module Temperature Sensor Width</t>
  </si>
  <si>
    <t>Module Temperature Sensor Height</t>
  </si>
  <si>
    <t>Module Temperature Sensor Weight</t>
  </si>
  <si>
    <t>Pack Fuse Length</t>
  </si>
  <si>
    <t>Pack Fuse Width</t>
  </si>
  <si>
    <t>Pack Fuse Height</t>
  </si>
  <si>
    <t>Pack Relay Length</t>
  </si>
  <si>
    <t>Pack Relay Width</t>
  </si>
  <si>
    <t>Pack Relay Height</t>
  </si>
  <si>
    <t>Pack Current Sensor Length</t>
  </si>
  <si>
    <t>Number of Relays per Pack</t>
  </si>
  <si>
    <t>Number of Fuses per Pack</t>
  </si>
  <si>
    <t>Pack Current Sensor Width</t>
  </si>
  <si>
    <t>Pack Current Sensor Height</t>
  </si>
  <si>
    <t>Pack Current Sensor Weight</t>
  </si>
  <si>
    <t>Number of Current Sensors per Pack</t>
  </si>
  <si>
    <t>Number of Voltage Sensors per Pack</t>
  </si>
  <si>
    <t>Pack Voltage Sensor Length</t>
  </si>
  <si>
    <t>Pack Voltage Sensor Width</t>
  </si>
  <si>
    <t>Pack Voltage Sensor Height</t>
  </si>
  <si>
    <t>Pack Voltage Sensor Weight</t>
  </si>
  <si>
    <t>Pack BMS Length</t>
  </si>
  <si>
    <t>Pack BMS Width</t>
  </si>
  <si>
    <t>Pack BMS Height</t>
  </si>
  <si>
    <t>[ccm]</t>
  </si>
  <si>
    <t>Opt1: Cell-to-Cell Clearance</t>
  </si>
  <si>
    <t>Opt2: Cell-to-Cell Clearance</t>
  </si>
  <si>
    <t>Opt3: Cell-to-Cell Clearance</t>
  </si>
  <si>
    <t>Opt4: Cell-to-Cell Clearance</t>
  </si>
  <si>
    <t>Number of Temperature Sensors per Module</t>
  </si>
  <si>
    <t>Cell Gravimetric Energy</t>
  </si>
  <si>
    <t>Pack BMS Mass</t>
  </si>
  <si>
    <t>Pack Fuse Mass</t>
  </si>
  <si>
    <t>Pack Relay Mass</t>
  </si>
  <si>
    <t>NMC</t>
  </si>
  <si>
    <t>at some point integrate material properties (there are actually many more materials)</t>
  </si>
  <si>
    <t>mid</t>
  </si>
  <si>
    <t>low</t>
  </si>
  <si>
    <t>Cell quality*</t>
  </si>
  <si>
    <t>* options are either "low", "mid", or "high". They are translated into corresponding FIT ranges. NOTE: preliminary structure, which may be changing!</t>
  </si>
  <si>
    <t>Cell Quality</t>
  </si>
  <si>
    <t>Optimization Target</t>
  </si>
  <si>
    <t>Impact Thresholds</t>
  </si>
  <si>
    <t>Impact thresholds</t>
  </si>
  <si>
    <t>Total Environmental Impact (distance-to-target)</t>
  </si>
  <si>
    <t>Target Function</t>
  </si>
  <si>
    <t>Optimization Goal</t>
  </si>
  <si>
    <t>Scope</t>
  </si>
  <si>
    <t>Optimzation Scope</t>
  </si>
  <si>
    <t>Vehicle</t>
  </si>
  <si>
    <t>Battery</t>
  </si>
  <si>
    <t>kg CFC11 eq</t>
  </si>
  <si>
    <t>Case 1</t>
  </si>
  <si>
    <t>Case 2</t>
  </si>
  <si>
    <t>Case 3</t>
  </si>
  <si>
    <t>Volumentric Packing Efficiency</t>
  </si>
  <si>
    <t>Replaceable Mounting: Added Mass</t>
  </si>
  <si>
    <t>Opt0: Module Design: Closed Casing (not sealed; PP) with foam filling</t>
  </si>
  <si>
    <t>Opt0: Cell-to-Cell Clearance</t>
  </si>
  <si>
    <t>Opt1: Module Design: Open Casing (PP) with foam filling</t>
  </si>
  <si>
    <t>Opt2: Module Design: Closed Casing (sealed; aluminium) without filling</t>
  </si>
  <si>
    <t>Opt3: Module Design: Closed Casing (not sealed; aluminium) without filling</t>
  </si>
  <si>
    <t>Opt4: Module Design: Open Casing (aluminium) without filling</t>
  </si>
  <si>
    <t>l</t>
  </si>
  <si>
    <t>h</t>
  </si>
  <si>
    <t>w</t>
  </si>
  <si>
    <t>mm</t>
  </si>
  <si>
    <t>max pack dimensions:</t>
  </si>
  <si>
    <t>pack mass:</t>
  </si>
  <si>
    <t>kg</t>
  </si>
  <si>
    <t>cooling plate between cells</t>
  </si>
  <si>
    <t>kWh</t>
  </si>
  <si>
    <t>pack energy</t>
  </si>
  <si>
    <t>pack capacity</t>
  </si>
  <si>
    <t>Ah</t>
  </si>
  <si>
    <t>#</t>
  </si>
  <si>
    <t>cell energy</t>
  </si>
  <si>
    <t>AVL</t>
  </si>
  <si>
    <t>https://www.batemo.com/products/batemo-cell-explorer/terrae-inr18650-42e/</t>
  </si>
  <si>
    <t>AVL:RWE_HVBS_2022</t>
  </si>
  <si>
    <t>cell masses</t>
  </si>
  <si>
    <t>cell mass share</t>
  </si>
  <si>
    <t>-</t>
  </si>
  <si>
    <t>v</t>
  </si>
  <si>
    <t>cmm</t>
  </si>
  <si>
    <t>cooling plate mass</t>
  </si>
  <si>
    <t>cells per Module</t>
  </si>
  <si>
    <t>cells per Pack</t>
  </si>
  <si>
    <t>Power</t>
  </si>
  <si>
    <t>Coherence Check</t>
  </si>
  <si>
    <t>calculation results:</t>
  </si>
  <si>
    <t>specification sheets:</t>
  </si>
  <si>
    <t>cooling system mass</t>
  </si>
  <si>
    <t>kg Sb eq</t>
  </si>
  <si>
    <t>Impact Category</t>
  </si>
  <si>
    <t>Abbreviation</t>
  </si>
  <si>
    <t>Unit</t>
  </si>
  <si>
    <t>Indicator in EF3.1</t>
  </si>
  <si>
    <t>Planetary Boundary (global)*1</t>
  </si>
  <si>
    <t>Planetary Boundary per capita*2</t>
  </si>
  <si>
    <t>Planetary Boundary for Austria (equality allocation) *3</t>
  </si>
  <si>
    <t>Planetary Boundary for HDVs in Austria (grandfathering allocation) *4</t>
  </si>
  <si>
    <t>CC</t>
  </si>
  <si>
    <t>MEU</t>
  </si>
  <si>
    <t>FEU</t>
  </si>
  <si>
    <t>WU</t>
  </si>
  <si>
    <t>POF</t>
  </si>
  <si>
    <t>kg CO2 eq</t>
  </si>
  <si>
    <t>kg P eq</t>
  </si>
  <si>
    <t>mol H+ eq</t>
  </si>
  <si>
    <t>kg soil loss</t>
  </si>
  <si>
    <t>m3 world eq</t>
  </si>
  <si>
    <t>kg NMVOC eq</t>
  </si>
  <si>
    <t>CTUh</t>
  </si>
  <si>
    <t>CTUe</t>
  </si>
  <si>
    <t>kBq U235 eq</t>
  </si>
  <si>
    <t>MJ</t>
  </si>
  <si>
    <t>GWP100</t>
  </si>
  <si>
    <t>Ozone depletion potential</t>
  </si>
  <si>
    <t>Fraction of nutrients reaching marine end compartment (N)</t>
  </si>
  <si>
    <t>Fraction of nutrients reaching freshwater end compartent (P)</t>
  </si>
  <si>
    <t>Accumulated Exeedance (AE)</t>
  </si>
  <si>
    <t>Soil erosion</t>
  </si>
  <si>
    <t>User deprivation potential</t>
  </si>
  <si>
    <t>Tropospheric ozone concentration</t>
  </si>
  <si>
    <t>Comparative toxic unit for humans</t>
  </si>
  <si>
    <t>Comparative toxic unit for ecosystems</t>
  </si>
  <si>
    <t>Human exposure efficiency relative to U235</t>
  </si>
  <si>
    <t>Abiotic resource depletion - fossil fuels</t>
  </si>
  <si>
    <t>Abiotic resource depletion - ultimate reserves</t>
  </si>
  <si>
    <t>*1</t>
  </si>
  <si>
    <t>*2</t>
  </si>
  <si>
    <t>*3</t>
  </si>
  <si>
    <t>*4</t>
  </si>
  <si>
    <t>*5</t>
  </si>
  <si>
    <t>kg N eq</t>
  </si>
  <si>
    <t>Value</t>
  </si>
  <si>
    <t>Reference</t>
  </si>
  <si>
    <t>world population (2025)</t>
  </si>
  <si>
    <t>population Austria (2025)</t>
  </si>
  <si>
    <t>Planetary Boundary for HDV Tonnekilometers in Austria (based on demand expectations) *5</t>
  </si>
  <si>
    <t>transportation share via road in Austria</t>
  </si>
  <si>
    <t>Statistic Austria 2023, https://www.statistik.at/statistiken/tourismus-und-verkehr/gueterverkehr/modal-split (accessed: 10th April 2025)</t>
  </si>
  <si>
    <t>transport volume via road in Austria 2023 (linear trend)</t>
  </si>
  <si>
    <t>Worldometers (2025), https://www.worldometers.info/world-population/ (accessed: 10th April 2025)</t>
  </si>
  <si>
    <t>Statistic Austria 2023, https://www.statistik.at/statistiken/tourismus-und-verkehr/gueterverkehr/gueterverkehr-strasse/gueterverkehr-auf-oesterreichs-strassen (accessed: 10th April 2025)</t>
  </si>
  <si>
    <t>Sala et al., 2020. Environmental sustainability of European production and consumption
assessed against planetary boundaries. Journal of Environmental Management, 269:110686. https://doi.org/10.1016/j.jenvman.2020.110686</t>
  </si>
  <si>
    <t>climate change</t>
  </si>
  <si>
    <t>acidification: terrestrial</t>
  </si>
  <si>
    <t>ecotoxicity: freshwater</t>
  </si>
  <si>
    <t>energy resources depletion: non-renewable</t>
  </si>
  <si>
    <t>eutrophication: freshwater</t>
  </si>
  <si>
    <t>eutrophication: marine</t>
  </si>
  <si>
    <t>human toxicity: carcinogenic</t>
  </si>
  <si>
    <t>human toxicity: non-carcinogenic</t>
  </si>
  <si>
    <t>ionising radiation</t>
  </si>
  <si>
    <t>land use</t>
  </si>
  <si>
    <t>material resources: metals/minerals</t>
  </si>
  <si>
    <t>ozone depletion</t>
  </si>
  <si>
    <t>photochemical oxidant formation: human health</t>
  </si>
  <si>
    <t>water use</t>
  </si>
  <si>
    <t>CHT</t>
  </si>
  <si>
    <t>NHT</t>
  </si>
  <si>
    <t>TAC</t>
  </si>
  <si>
    <t>FET</t>
  </si>
  <si>
    <t>MR</t>
  </si>
  <si>
    <t>ERD</t>
  </si>
  <si>
    <t>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</si>
</sst>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4"/>
      <color theme="1"/>
      <name val="Aptos Narrow"/>
      <scheme val="minor"/>
    </font>
    <font>
      <sz val="12"/>
      <color rgb="FFFFC000"/>
      <name val="Aptos Narrow"/>
      <scheme val="minor"/>
    </font>
    <font>
      <b/>
      <sz val="14"/>
      <color theme="1"/>
      <name val="Aptos Narrow"/>
      <scheme val="minor"/>
    </font>
    <font>
      <sz val="14"/>
      <color rgb="FF1F2328"/>
      <name val="Helvetica"/>
      <family val="2"/>
    </font>
    <font>
      <sz val="12"/>
      <color rgb="FFFF0000"/>
      <name val="Aptos Narrow"/>
      <family val="2"/>
      <scheme val="minor"/>
    </font>
    <font>
      <sz val="12"/>
      <color theme="1"/>
      <name val="Aptos Narrow"/>
      <scheme val="minor"/>
    </font>
    <font>
      <sz val="14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0" fillId="0" borderId="0" xfId="0" applyAlignment="1">
      <alignment vertical="top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6" fillId="0" borderId="0" xfId="0" applyFont="1"/>
    <xf numFmtId="0" fontId="7" fillId="0" borderId="0" xfId="0" applyFont="1" applyAlignment="1">
      <alignment vertical="center"/>
    </xf>
    <xf numFmtId="165" fontId="0" fillId="0" borderId="0" xfId="0" applyNumberFormat="1"/>
    <xf numFmtId="0" fontId="9" fillId="0" borderId="0" xfId="1"/>
    <xf numFmtId="0" fontId="0" fillId="2" borderId="1" xfId="0" applyFill="1" applyBorder="1" applyAlignment="1">
      <alignment horizontal="left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1" fontId="0" fillId="2" borderId="0" xfId="0" applyNumberFormat="1" applyFill="1"/>
    <xf numFmtId="0" fontId="4" fillId="2" borderId="1" xfId="0" applyFont="1" applyFill="1" applyBorder="1"/>
    <xf numFmtId="2" fontId="0" fillId="2" borderId="5" xfId="0" applyNumberFormat="1" applyFill="1" applyBorder="1"/>
    <xf numFmtId="2" fontId="0" fillId="2" borderId="0" xfId="0" applyNumberFormat="1" applyFill="1"/>
    <xf numFmtId="0" fontId="0" fillId="3" borderId="2" xfId="0" applyFill="1" applyBorder="1"/>
    <xf numFmtId="0" fontId="0" fillId="3" borderId="0" xfId="0" applyFill="1"/>
    <xf numFmtId="0" fontId="0" fillId="3" borderId="7" xfId="0" applyFill="1" applyBorder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1" fontId="0" fillId="0" borderId="0" xfId="0" applyNumberFormat="1"/>
    <xf numFmtId="0" fontId="0" fillId="0" borderId="0" xfId="0" applyNumberFormat="1"/>
    <xf numFmtId="0" fontId="0" fillId="0" borderId="0" xfId="0" applyAlignment="1"/>
    <xf numFmtId="0" fontId="0" fillId="0" borderId="0" xfId="0" applyAlignment="1">
      <alignment vertical="center"/>
    </xf>
    <xf numFmtId="164" fontId="0" fillId="2" borderId="0" xfId="0" applyNumberFormat="1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orldometers.info/world-population/%20(accessed:%2010th%20April%202025)" TargetMode="External"/><Relationship Id="rId1" Type="http://schemas.openxmlformats.org/officeDocument/2006/relationships/hyperlink" Target="https://www.worldometers.info/world-population/%20(accessed:%2010th%20April%202025)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batemo.com/products/batemo-cell-explorer/eve-power-a31-v2/" TargetMode="External"/><Relationship Id="rId1" Type="http://schemas.openxmlformats.org/officeDocument/2006/relationships/hyperlink" Target="https://www.batemo.com/products/batemo-cell-explorer/terrae-inr18650-42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7A8A-EC02-1045-B014-D153C323FCFE}">
  <dimension ref="B2:L80"/>
  <sheetViews>
    <sheetView topLeftCell="B54" zoomScaleNormal="171" workbookViewId="0">
      <selection activeCell="I3" sqref="I3"/>
    </sheetView>
  </sheetViews>
  <sheetFormatPr baseColWidth="10" defaultRowHeight="16" x14ac:dyDescent="0.2"/>
  <cols>
    <col min="2" max="2" width="12.1640625" customWidth="1"/>
    <col min="3" max="3" width="10" customWidth="1"/>
    <col min="4" max="4" width="38.1640625" customWidth="1"/>
    <col min="9" max="9" width="16.33203125" customWidth="1"/>
    <col min="12" max="12" width="18.33203125" customWidth="1"/>
  </cols>
  <sheetData>
    <row r="2" spans="2:10" ht="32" x14ac:dyDescent="0.4">
      <c r="B2" s="1" t="s">
        <v>154</v>
      </c>
    </row>
    <row r="4" spans="2:10" x14ac:dyDescent="0.2">
      <c r="B4" s="35" t="s">
        <v>363</v>
      </c>
      <c r="C4" s="35"/>
      <c r="D4" t="s">
        <v>369</v>
      </c>
      <c r="E4" t="s">
        <v>47</v>
      </c>
      <c r="F4" t="s">
        <v>371</v>
      </c>
    </row>
    <row r="5" spans="2:10" x14ac:dyDescent="0.2">
      <c r="B5" s="35"/>
      <c r="C5" s="35"/>
      <c r="D5" t="s">
        <v>367</v>
      </c>
      <c r="E5" t="s">
        <v>47</v>
      </c>
      <c r="F5" t="s">
        <v>366</v>
      </c>
    </row>
    <row r="6" spans="2:10" ht="16" customHeight="1" x14ac:dyDescent="0.2">
      <c r="B6" s="36" t="s">
        <v>3</v>
      </c>
      <c r="C6" s="36"/>
      <c r="D6" t="s">
        <v>0</v>
      </c>
      <c r="E6" t="s">
        <v>47</v>
      </c>
      <c r="F6" s="9" t="s">
        <v>11</v>
      </c>
    </row>
    <row r="7" spans="2:10" x14ac:dyDescent="0.2">
      <c r="B7" s="36"/>
      <c r="C7" s="36"/>
      <c r="D7" t="s">
        <v>4</v>
      </c>
      <c r="E7" t="s">
        <v>48</v>
      </c>
      <c r="F7" s="9" t="s">
        <v>19</v>
      </c>
    </row>
    <row r="8" spans="2:10" x14ac:dyDescent="0.2">
      <c r="B8" s="36"/>
      <c r="C8" s="36"/>
      <c r="D8" t="s">
        <v>5</v>
      </c>
      <c r="E8" t="s">
        <v>49</v>
      </c>
      <c r="F8" s="9">
        <v>2030</v>
      </c>
    </row>
    <row r="9" spans="2:10" x14ac:dyDescent="0.2">
      <c r="B9" s="36"/>
      <c r="C9" s="36"/>
      <c r="D9" t="s">
        <v>6</v>
      </c>
      <c r="E9" t="s">
        <v>50</v>
      </c>
      <c r="F9" s="9">
        <v>1000000</v>
      </c>
    </row>
    <row r="10" spans="2:10" x14ac:dyDescent="0.2">
      <c r="B10" s="36"/>
      <c r="C10" s="36"/>
      <c r="D10" t="s">
        <v>7</v>
      </c>
      <c r="E10" t="s">
        <v>47</v>
      </c>
      <c r="F10" s="9" t="s">
        <v>23</v>
      </c>
    </row>
    <row r="11" spans="2:10" x14ac:dyDescent="0.2">
      <c r="B11" s="36"/>
      <c r="C11" s="36"/>
      <c r="D11" t="s">
        <v>8</v>
      </c>
      <c r="E11" t="s">
        <v>50</v>
      </c>
      <c r="F11" s="9">
        <v>600</v>
      </c>
    </row>
    <row r="12" spans="2:10" x14ac:dyDescent="0.2">
      <c r="B12" s="36"/>
      <c r="C12" s="36"/>
      <c r="D12" t="s">
        <v>1</v>
      </c>
      <c r="E12" t="s">
        <v>51</v>
      </c>
      <c r="F12" s="9">
        <v>15000</v>
      </c>
    </row>
    <row r="13" spans="2:10" x14ac:dyDescent="0.2">
      <c r="B13" s="36"/>
      <c r="C13" s="36"/>
      <c r="D13" t="s">
        <v>280</v>
      </c>
      <c r="E13" t="s">
        <v>47</v>
      </c>
      <c r="F13" t="s">
        <v>158</v>
      </c>
      <c r="H13" s="10"/>
      <c r="I13" s="10"/>
      <c r="J13" s="10"/>
    </row>
    <row r="14" spans="2:10" x14ac:dyDescent="0.2">
      <c r="B14" s="36"/>
      <c r="C14" s="36"/>
      <c r="D14" t="s">
        <v>281</v>
      </c>
      <c r="E14" t="s">
        <v>47</v>
      </c>
      <c r="F14" t="s">
        <v>158</v>
      </c>
      <c r="H14" s="10"/>
      <c r="I14" s="10"/>
      <c r="J14" s="10"/>
    </row>
    <row r="15" spans="2:10" hidden="1" x14ac:dyDescent="0.2">
      <c r="B15" s="36"/>
      <c r="C15" s="36"/>
      <c r="D15" t="s">
        <v>259</v>
      </c>
      <c r="E15" t="s">
        <v>52</v>
      </c>
      <c r="F15" s="9"/>
    </row>
    <row r="16" spans="2:10" hidden="1" x14ac:dyDescent="0.2">
      <c r="B16" s="36"/>
      <c r="C16" s="36"/>
      <c r="D16" t="s">
        <v>260</v>
      </c>
      <c r="E16" t="s">
        <v>52</v>
      </c>
      <c r="F16" s="9"/>
    </row>
    <row r="17" spans="2:6" hidden="1" x14ac:dyDescent="0.2">
      <c r="B17" s="36"/>
      <c r="C17" s="36"/>
      <c r="D17" t="s">
        <v>261</v>
      </c>
      <c r="E17" t="s">
        <v>52</v>
      </c>
      <c r="F17" s="9"/>
    </row>
    <row r="18" spans="2:6" hidden="1" x14ac:dyDescent="0.2">
      <c r="B18" s="36"/>
      <c r="C18" s="36"/>
      <c r="D18" t="s">
        <v>262</v>
      </c>
      <c r="E18" t="s">
        <v>52</v>
      </c>
      <c r="F18" s="9"/>
    </row>
    <row r="19" spans="2:6" hidden="1" x14ac:dyDescent="0.2">
      <c r="B19" s="36"/>
      <c r="C19" s="36"/>
      <c r="D19" t="s">
        <v>263</v>
      </c>
      <c r="E19" t="s">
        <v>52</v>
      </c>
      <c r="F19" s="9"/>
    </row>
    <row r="20" spans="2:6" hidden="1" x14ac:dyDescent="0.2">
      <c r="B20" s="36"/>
      <c r="C20" s="36"/>
      <c r="D20" t="s">
        <v>264</v>
      </c>
      <c r="E20" t="s">
        <v>52</v>
      </c>
      <c r="F20" s="9"/>
    </row>
    <row r="21" spans="2:6" hidden="1" x14ac:dyDescent="0.2">
      <c r="B21" s="36"/>
      <c r="C21" s="36"/>
      <c r="D21" t="s">
        <v>265</v>
      </c>
      <c r="E21" t="s">
        <v>52</v>
      </c>
      <c r="F21" s="9"/>
    </row>
    <row r="22" spans="2:6" hidden="1" x14ac:dyDescent="0.2">
      <c r="B22" s="36"/>
      <c r="C22" s="36"/>
      <c r="D22" t="s">
        <v>266</v>
      </c>
      <c r="E22" t="s">
        <v>52</v>
      </c>
      <c r="F22" s="9"/>
    </row>
    <row r="23" spans="2:6" hidden="1" x14ac:dyDescent="0.2">
      <c r="B23" s="36"/>
      <c r="C23" s="36"/>
      <c r="D23" t="s">
        <v>267</v>
      </c>
      <c r="E23" t="s">
        <v>52</v>
      </c>
      <c r="F23" s="9"/>
    </row>
    <row r="24" spans="2:6" hidden="1" x14ac:dyDescent="0.2">
      <c r="B24" s="36"/>
      <c r="C24" s="36"/>
      <c r="D24" t="s">
        <v>268</v>
      </c>
      <c r="E24" t="s">
        <v>52</v>
      </c>
      <c r="F24" s="9"/>
    </row>
    <row r="25" spans="2:6" hidden="1" x14ac:dyDescent="0.2">
      <c r="B25" s="36"/>
      <c r="C25" s="36"/>
      <c r="D25" t="s">
        <v>269</v>
      </c>
      <c r="E25" t="s">
        <v>52</v>
      </c>
      <c r="F25" s="9"/>
    </row>
    <row r="26" spans="2:6" hidden="1" x14ac:dyDescent="0.2">
      <c r="B26" s="36"/>
      <c r="C26" s="36"/>
      <c r="D26" t="s">
        <v>270</v>
      </c>
      <c r="E26" t="s">
        <v>52</v>
      </c>
      <c r="F26" s="9"/>
    </row>
    <row r="27" spans="2:6" hidden="1" x14ac:dyDescent="0.2">
      <c r="B27" s="36"/>
      <c r="C27" s="36"/>
      <c r="D27" t="s">
        <v>271</v>
      </c>
      <c r="E27" t="s">
        <v>52</v>
      </c>
      <c r="F27" s="9"/>
    </row>
    <row r="28" spans="2:6" hidden="1" x14ac:dyDescent="0.2">
      <c r="B28" s="36"/>
      <c r="C28" s="36"/>
      <c r="D28" t="s">
        <v>272</v>
      </c>
      <c r="E28" t="s">
        <v>52</v>
      </c>
      <c r="F28" s="9"/>
    </row>
    <row r="29" spans="2:6" hidden="1" x14ac:dyDescent="0.2">
      <c r="B29" s="36"/>
      <c r="C29" s="36"/>
      <c r="D29" t="s">
        <v>273</v>
      </c>
      <c r="E29" t="s">
        <v>52</v>
      </c>
      <c r="F29" s="9"/>
    </row>
    <row r="30" spans="2:6" hidden="1" x14ac:dyDescent="0.2">
      <c r="B30" s="36"/>
      <c r="C30" s="36"/>
      <c r="D30" t="s">
        <v>274</v>
      </c>
      <c r="E30" t="s">
        <v>52</v>
      </c>
      <c r="F30" s="9"/>
    </row>
    <row r="31" spans="2:6" hidden="1" x14ac:dyDescent="0.2">
      <c r="B31" s="36"/>
      <c r="C31" s="36"/>
      <c r="D31" t="s">
        <v>275</v>
      </c>
      <c r="E31" t="s">
        <v>52</v>
      </c>
      <c r="F31" s="9"/>
    </row>
    <row r="32" spans="2:6" hidden="1" x14ac:dyDescent="0.2">
      <c r="B32" s="36"/>
      <c r="C32" s="36"/>
      <c r="D32" t="s">
        <v>276</v>
      </c>
      <c r="E32" t="s">
        <v>52</v>
      </c>
      <c r="F32" s="9"/>
    </row>
    <row r="33" spans="2:12" hidden="1" x14ac:dyDescent="0.2">
      <c r="B33" s="36"/>
      <c r="C33" s="36"/>
      <c r="D33" t="s">
        <v>277</v>
      </c>
      <c r="E33" t="s">
        <v>52</v>
      </c>
      <c r="F33" s="9"/>
    </row>
    <row r="34" spans="2:12" ht="16" hidden="1" customHeight="1" x14ac:dyDescent="0.2">
      <c r="B34" s="36"/>
      <c r="C34" s="36"/>
      <c r="D34" t="s">
        <v>278</v>
      </c>
      <c r="E34" t="s">
        <v>52</v>
      </c>
    </row>
    <row r="35" spans="2:12" hidden="1" x14ac:dyDescent="0.2">
      <c r="B35" s="36"/>
      <c r="C35" s="36"/>
      <c r="D35" t="s">
        <v>279</v>
      </c>
      <c r="E35" t="s">
        <v>52</v>
      </c>
    </row>
    <row r="36" spans="2:12" ht="16" customHeight="1" x14ac:dyDescent="0.2">
      <c r="B36" s="36" t="s">
        <v>45</v>
      </c>
      <c r="C36" s="36" t="s">
        <v>62</v>
      </c>
      <c r="D36" t="s">
        <v>60</v>
      </c>
      <c r="E36" t="s">
        <v>53</v>
      </c>
      <c r="F36" s="9">
        <v>830</v>
      </c>
    </row>
    <row r="37" spans="2:12" ht="16" customHeight="1" x14ac:dyDescent="0.2">
      <c r="B37" s="36"/>
      <c r="C37" s="36"/>
      <c r="D37" t="s">
        <v>59</v>
      </c>
      <c r="E37" t="s">
        <v>54</v>
      </c>
      <c r="F37" s="9">
        <v>690</v>
      </c>
    </row>
    <row r="38" spans="2:12" x14ac:dyDescent="0.2">
      <c r="B38" s="36"/>
      <c r="C38" s="36"/>
      <c r="D38" t="s">
        <v>61</v>
      </c>
      <c r="E38" t="s">
        <v>80</v>
      </c>
      <c r="F38" s="9">
        <v>450</v>
      </c>
    </row>
    <row r="39" spans="2:12" x14ac:dyDescent="0.2">
      <c r="B39" s="36"/>
      <c r="C39" s="36"/>
      <c r="D39" t="s">
        <v>377</v>
      </c>
      <c r="E39" t="s">
        <v>52</v>
      </c>
      <c r="F39" s="9">
        <v>0.88</v>
      </c>
    </row>
    <row r="40" spans="2:12" x14ac:dyDescent="0.2">
      <c r="B40" s="36"/>
      <c r="C40" s="36"/>
      <c r="D40" t="s">
        <v>378</v>
      </c>
      <c r="E40" t="s">
        <v>52</v>
      </c>
      <c r="F40" s="9">
        <v>0.05</v>
      </c>
    </row>
    <row r="41" spans="2:12" ht="17" customHeight="1" x14ac:dyDescent="0.25">
      <c r="B41" s="36"/>
      <c r="C41" s="36"/>
      <c r="D41" t="s">
        <v>57</v>
      </c>
      <c r="E41" t="s">
        <v>58</v>
      </c>
      <c r="F41" s="9">
        <v>6</v>
      </c>
      <c r="I41" s="29" t="s">
        <v>411</v>
      </c>
      <c r="J41" s="20"/>
      <c r="K41" s="20"/>
      <c r="L41" s="21"/>
    </row>
    <row r="42" spans="2:12" x14ac:dyDescent="0.2">
      <c r="B42" s="36"/>
      <c r="C42" s="36"/>
      <c r="D42" t="s">
        <v>121</v>
      </c>
      <c r="E42" t="s">
        <v>346</v>
      </c>
      <c r="F42" s="9">
        <v>100000000</v>
      </c>
      <c r="I42" s="22" t="s">
        <v>413</v>
      </c>
      <c r="J42" s="23"/>
      <c r="K42" s="23"/>
      <c r="L42" s="24" t="s">
        <v>412</v>
      </c>
    </row>
    <row r="43" spans="2:12" ht="17" customHeight="1" x14ac:dyDescent="0.2">
      <c r="B43" s="36"/>
      <c r="C43" s="36" t="s">
        <v>84</v>
      </c>
      <c r="D43" t="s">
        <v>85</v>
      </c>
      <c r="E43" t="s">
        <v>53</v>
      </c>
      <c r="F43" s="9">
        <v>830</v>
      </c>
      <c r="I43" s="22" t="s">
        <v>389</v>
      </c>
      <c r="J43" s="23"/>
      <c r="K43" s="23"/>
      <c r="L43" s="24"/>
    </row>
    <row r="44" spans="2:12" x14ac:dyDescent="0.2">
      <c r="B44" s="36"/>
      <c r="C44" s="36"/>
      <c r="D44" t="s">
        <v>88</v>
      </c>
      <c r="E44" t="s">
        <v>47</v>
      </c>
      <c r="F44" s="9" t="s">
        <v>90</v>
      </c>
      <c r="I44" s="22" t="s">
        <v>385</v>
      </c>
      <c r="J44" s="23">
        <v>1812</v>
      </c>
      <c r="K44" s="23" t="s">
        <v>388</v>
      </c>
      <c r="L44" s="24"/>
    </row>
    <row r="45" spans="2:12" x14ac:dyDescent="0.2">
      <c r="B45" s="36"/>
      <c r="C45" s="36"/>
      <c r="D45" t="s">
        <v>108</v>
      </c>
      <c r="E45" t="s">
        <v>110</v>
      </c>
      <c r="F45" s="9">
        <v>5</v>
      </c>
      <c r="I45" s="22" t="s">
        <v>386</v>
      </c>
      <c r="J45" s="23">
        <v>620</v>
      </c>
      <c r="K45" s="23" t="s">
        <v>388</v>
      </c>
      <c r="L45" s="24"/>
    </row>
    <row r="46" spans="2:12" x14ac:dyDescent="0.2">
      <c r="B46" s="36"/>
      <c r="C46" s="36"/>
      <c r="D46" t="s">
        <v>87</v>
      </c>
      <c r="E46" t="s">
        <v>47</v>
      </c>
      <c r="F46" s="9" t="s">
        <v>91</v>
      </c>
      <c r="I46" s="22" t="s">
        <v>387</v>
      </c>
      <c r="J46" s="23">
        <v>382</v>
      </c>
      <c r="K46" s="23" t="s">
        <v>388</v>
      </c>
      <c r="L46" s="24"/>
    </row>
    <row r="47" spans="2:12" x14ac:dyDescent="0.2">
      <c r="B47" s="36"/>
      <c r="C47" s="36"/>
      <c r="D47" t="s">
        <v>86</v>
      </c>
      <c r="E47" t="s">
        <v>94</v>
      </c>
      <c r="F47" s="9">
        <v>33</v>
      </c>
      <c r="I47" s="22" t="s">
        <v>405</v>
      </c>
      <c r="J47" s="28">
        <f>J44*J45*J46/1000</f>
        <v>429154.08</v>
      </c>
      <c r="K47" s="23" t="s">
        <v>406</v>
      </c>
      <c r="L47" s="24">
        <v>429592</v>
      </c>
    </row>
    <row r="48" spans="2:12" x14ac:dyDescent="0.2">
      <c r="B48" s="36"/>
      <c r="C48" s="36"/>
      <c r="D48" t="s">
        <v>282</v>
      </c>
      <c r="E48" t="s">
        <v>47</v>
      </c>
      <c r="F48" s="9" t="s">
        <v>311</v>
      </c>
      <c r="I48" s="22" t="s">
        <v>394</v>
      </c>
      <c r="J48" s="23">
        <v>115</v>
      </c>
      <c r="K48" s="23" t="s">
        <v>393</v>
      </c>
      <c r="L48" s="30">
        <f>Parameters!I118*198/1000</f>
        <v>114.99839999999999</v>
      </c>
    </row>
    <row r="49" spans="2:12" x14ac:dyDescent="0.2">
      <c r="B49" s="36"/>
      <c r="C49" s="36"/>
      <c r="D49" t="s">
        <v>283</v>
      </c>
      <c r="E49" t="s">
        <v>47</v>
      </c>
      <c r="F49" s="9" t="s">
        <v>292</v>
      </c>
      <c r="I49" s="22" t="s">
        <v>395</v>
      </c>
      <c r="J49" s="23">
        <v>162</v>
      </c>
      <c r="K49" s="23" t="s">
        <v>396</v>
      </c>
      <c r="L49" s="24">
        <f>Parameters!I117</f>
        <v>162</v>
      </c>
    </row>
    <row r="50" spans="2:12" x14ac:dyDescent="0.2">
      <c r="B50" s="36"/>
      <c r="C50" s="36"/>
      <c r="D50" t="s">
        <v>333</v>
      </c>
      <c r="E50" t="s">
        <v>96</v>
      </c>
      <c r="F50" s="9">
        <v>2</v>
      </c>
      <c r="I50" s="22" t="s">
        <v>390</v>
      </c>
      <c r="J50" s="23">
        <v>735.15</v>
      </c>
      <c r="K50" s="23" t="s">
        <v>391</v>
      </c>
      <c r="L50" s="30">
        <f>4410.4/6</f>
        <v>735.06666666666661</v>
      </c>
    </row>
    <row r="51" spans="2:12" x14ac:dyDescent="0.2">
      <c r="B51" s="36"/>
      <c r="C51" s="36"/>
      <c r="D51" t="s">
        <v>284</v>
      </c>
      <c r="E51" t="s">
        <v>47</v>
      </c>
      <c r="F51" s="9" t="s">
        <v>294</v>
      </c>
      <c r="I51" s="22" t="s">
        <v>392</v>
      </c>
      <c r="J51" s="23">
        <f>1.5+1.5</f>
        <v>3</v>
      </c>
      <c r="K51" s="23" t="s">
        <v>388</v>
      </c>
      <c r="L51" s="24"/>
    </row>
    <row r="52" spans="2:12" x14ac:dyDescent="0.2">
      <c r="B52" s="36"/>
      <c r="C52" s="36"/>
      <c r="D52" t="s">
        <v>332</v>
      </c>
      <c r="E52" t="s">
        <v>96</v>
      </c>
      <c r="F52" s="9">
        <v>2</v>
      </c>
      <c r="I52" s="22" t="s">
        <v>407</v>
      </c>
      <c r="J52" s="44">
        <f>(J51)*J44*J46*7.8/1000/1000</f>
        <v>16.1971056</v>
      </c>
      <c r="K52" s="23" t="s">
        <v>391</v>
      </c>
      <c r="L52" s="24"/>
    </row>
    <row r="53" spans="2:12" x14ac:dyDescent="0.2">
      <c r="B53" s="36"/>
      <c r="C53" s="36"/>
      <c r="D53" t="s">
        <v>285</v>
      </c>
      <c r="E53" t="s">
        <v>47</v>
      </c>
      <c r="F53" s="9" t="s">
        <v>295</v>
      </c>
      <c r="I53" s="22" t="s">
        <v>414</v>
      </c>
      <c r="J53" s="44">
        <f>J52*2</f>
        <v>32.394211200000001</v>
      </c>
      <c r="K53" s="23" t="s">
        <v>391</v>
      </c>
      <c r="L53" s="24">
        <v>33</v>
      </c>
    </row>
    <row r="54" spans="2:12" x14ac:dyDescent="0.2">
      <c r="B54" s="36"/>
      <c r="C54" s="36"/>
      <c r="D54" t="s">
        <v>337</v>
      </c>
      <c r="E54" t="s">
        <v>96</v>
      </c>
      <c r="F54" s="9">
        <v>1</v>
      </c>
      <c r="I54" s="22"/>
      <c r="J54" s="23"/>
      <c r="K54" s="23"/>
      <c r="L54" s="24"/>
    </row>
    <row r="55" spans="2:12" ht="16" customHeight="1" x14ac:dyDescent="0.2">
      <c r="B55" s="36"/>
      <c r="C55" s="36"/>
      <c r="D55" t="s">
        <v>286</v>
      </c>
      <c r="E55" t="s">
        <v>47</v>
      </c>
      <c r="F55" s="9" t="s">
        <v>296</v>
      </c>
      <c r="I55" s="22" t="s">
        <v>408</v>
      </c>
      <c r="J55" s="23">
        <v>33</v>
      </c>
      <c r="K55" s="23" t="s">
        <v>397</v>
      </c>
      <c r="L55" s="24">
        <f>J55</f>
        <v>33</v>
      </c>
    </row>
    <row r="56" spans="2:12" x14ac:dyDescent="0.2">
      <c r="B56" s="36"/>
      <c r="C56" s="36"/>
      <c r="D56" t="s">
        <v>338</v>
      </c>
      <c r="E56" t="s">
        <v>96</v>
      </c>
      <c r="F56" s="9">
        <v>1</v>
      </c>
      <c r="I56" s="22" t="s">
        <v>409</v>
      </c>
      <c r="J56" s="23">
        <f>33*6</f>
        <v>198</v>
      </c>
      <c r="K56" s="23" t="s">
        <v>397</v>
      </c>
      <c r="L56" s="24">
        <f>J56</f>
        <v>198</v>
      </c>
    </row>
    <row r="57" spans="2:12" x14ac:dyDescent="0.2">
      <c r="B57" s="36"/>
      <c r="C57" s="36" t="s">
        <v>83</v>
      </c>
      <c r="D57" t="s">
        <v>287</v>
      </c>
      <c r="E57" t="s">
        <v>47</v>
      </c>
      <c r="F57" s="9" t="s">
        <v>312</v>
      </c>
      <c r="I57" s="22" t="s">
        <v>398</v>
      </c>
      <c r="J57" s="31">
        <f>J48*1000/J56</f>
        <v>580.80808080808083</v>
      </c>
      <c r="K57" s="23" t="s">
        <v>393</v>
      </c>
      <c r="L57" s="30">
        <v>580.79999999999995</v>
      </c>
    </row>
    <row r="58" spans="2:12" x14ac:dyDescent="0.2">
      <c r="B58" s="36"/>
      <c r="C58" s="36"/>
      <c r="D58" t="s">
        <v>288</v>
      </c>
      <c r="E58" t="s">
        <v>47</v>
      </c>
      <c r="F58" s="9" t="s">
        <v>296</v>
      </c>
      <c r="I58" s="22" t="s">
        <v>402</v>
      </c>
      <c r="J58" s="23">
        <f>J56*2.8</f>
        <v>554.4</v>
      </c>
      <c r="K58" s="23" t="s">
        <v>391</v>
      </c>
      <c r="L58" s="24">
        <f>2.8*198</f>
        <v>554.4</v>
      </c>
    </row>
    <row r="59" spans="2:12" x14ac:dyDescent="0.2">
      <c r="B59" s="36"/>
      <c r="C59" s="36"/>
      <c r="D59" t="s">
        <v>120</v>
      </c>
      <c r="E59" t="s">
        <v>119</v>
      </c>
      <c r="F59" s="9">
        <v>1</v>
      </c>
      <c r="I59" s="25" t="s">
        <v>403</v>
      </c>
      <c r="J59" s="26">
        <f>J58/J50</f>
        <v>0.75413180983472761</v>
      </c>
      <c r="K59" s="26" t="s">
        <v>404</v>
      </c>
      <c r="L59" s="27">
        <v>0.75370000000000004</v>
      </c>
    </row>
    <row r="60" spans="2:12" x14ac:dyDescent="0.2">
      <c r="B60" s="36"/>
      <c r="C60" s="36"/>
      <c r="D60" t="s">
        <v>289</v>
      </c>
      <c r="E60" t="s">
        <v>47</v>
      </c>
      <c r="F60" s="9" t="s">
        <v>298</v>
      </c>
    </row>
    <row r="61" spans="2:12" x14ac:dyDescent="0.2">
      <c r="B61" s="36"/>
      <c r="C61" s="36"/>
      <c r="D61" t="s">
        <v>351</v>
      </c>
      <c r="E61" t="s">
        <v>101</v>
      </c>
      <c r="F61" s="9">
        <v>9</v>
      </c>
    </row>
    <row r="62" spans="2:12" x14ac:dyDescent="0.2">
      <c r="B62" s="36"/>
      <c r="C62" s="36"/>
      <c r="D62" t="s">
        <v>118</v>
      </c>
      <c r="E62" t="s">
        <v>47</v>
      </c>
      <c r="F62" s="9" t="s">
        <v>401</v>
      </c>
      <c r="H62" s="15" t="s">
        <v>357</v>
      </c>
    </row>
    <row r="63" spans="2:12" x14ac:dyDescent="0.2">
      <c r="B63" s="36"/>
      <c r="C63" s="36"/>
      <c r="D63" s="37" t="s">
        <v>379</v>
      </c>
      <c r="E63" s="37"/>
      <c r="F63" s="37"/>
      <c r="H63" s="37"/>
      <c r="I63" s="37"/>
      <c r="J63" s="37"/>
    </row>
    <row r="64" spans="2:12" x14ac:dyDescent="0.2">
      <c r="B64" s="36"/>
      <c r="C64" s="36"/>
      <c r="D64" t="s">
        <v>380</v>
      </c>
      <c r="E64" t="s">
        <v>110</v>
      </c>
      <c r="F64" s="9">
        <v>1.2</v>
      </c>
      <c r="J64" s="9"/>
    </row>
    <row r="65" spans="2:10" x14ac:dyDescent="0.2">
      <c r="B65" s="36"/>
      <c r="C65" s="36"/>
      <c r="D65" s="37" t="s">
        <v>381</v>
      </c>
      <c r="E65" s="37"/>
      <c r="F65" s="37"/>
      <c r="H65" s="37"/>
      <c r="I65" s="37"/>
      <c r="J65" s="37"/>
    </row>
    <row r="66" spans="2:10" x14ac:dyDescent="0.2">
      <c r="B66" s="36"/>
      <c r="C66" s="36"/>
      <c r="D66" t="s">
        <v>347</v>
      </c>
      <c r="E66" t="s">
        <v>110</v>
      </c>
      <c r="F66" s="9">
        <v>1.5</v>
      </c>
      <c r="J66" s="9"/>
    </row>
    <row r="67" spans="2:10" x14ac:dyDescent="0.2">
      <c r="B67" s="36"/>
      <c r="C67" s="36"/>
      <c r="D67" s="37" t="s">
        <v>382</v>
      </c>
      <c r="E67" s="37"/>
      <c r="F67" s="37"/>
      <c r="H67" s="37"/>
      <c r="I67" s="37"/>
      <c r="J67" s="37"/>
    </row>
    <row r="68" spans="2:10" x14ac:dyDescent="0.2">
      <c r="B68" s="36"/>
      <c r="C68" s="36"/>
      <c r="D68" t="s">
        <v>348</v>
      </c>
      <c r="E68" t="s">
        <v>110</v>
      </c>
      <c r="F68" s="9">
        <v>1.7</v>
      </c>
      <c r="J68" s="9"/>
    </row>
    <row r="69" spans="2:10" x14ac:dyDescent="0.2">
      <c r="B69" s="36"/>
      <c r="C69" s="36"/>
      <c r="D69" s="37" t="s">
        <v>383</v>
      </c>
      <c r="E69" s="37"/>
      <c r="F69" s="37"/>
      <c r="H69" s="37"/>
      <c r="I69" s="37"/>
      <c r="J69" s="37"/>
    </row>
    <row r="70" spans="2:10" x14ac:dyDescent="0.2">
      <c r="B70" s="36"/>
      <c r="C70" s="36"/>
      <c r="D70" t="s">
        <v>349</v>
      </c>
      <c r="E70" t="s">
        <v>110</v>
      </c>
      <c r="F70" s="9">
        <v>2</v>
      </c>
      <c r="J70" s="9"/>
    </row>
    <row r="71" spans="2:10" x14ac:dyDescent="0.2">
      <c r="B71" s="36"/>
      <c r="C71" s="36"/>
      <c r="D71" s="37" t="s">
        <v>384</v>
      </c>
      <c r="E71" s="37"/>
      <c r="F71" s="37"/>
      <c r="H71" s="37"/>
      <c r="I71" s="37"/>
      <c r="J71" s="37"/>
    </row>
    <row r="72" spans="2:10" x14ac:dyDescent="0.2">
      <c r="B72" s="36"/>
      <c r="C72" s="36"/>
      <c r="D72" t="s">
        <v>350</v>
      </c>
      <c r="E72" t="s">
        <v>110</v>
      </c>
      <c r="F72" s="9">
        <v>2.2999999999999998</v>
      </c>
      <c r="J72" s="9"/>
    </row>
    <row r="75" spans="2:10" x14ac:dyDescent="0.2">
      <c r="F75" s="19" t="s">
        <v>374</v>
      </c>
      <c r="G75" s="32" t="s">
        <v>375</v>
      </c>
      <c r="H75" s="21" t="s">
        <v>376</v>
      </c>
    </row>
    <row r="76" spans="2:10" x14ac:dyDescent="0.2">
      <c r="F76" s="22">
        <v>1.1000000000000001</v>
      </c>
      <c r="G76" s="33">
        <v>1.2</v>
      </c>
      <c r="H76" s="24">
        <v>1.3</v>
      </c>
    </row>
    <row r="77" spans="2:10" x14ac:dyDescent="0.2">
      <c r="F77" s="22">
        <v>1.4</v>
      </c>
      <c r="G77" s="33">
        <v>1.5</v>
      </c>
      <c r="H77" s="24">
        <v>1.6</v>
      </c>
    </row>
    <row r="78" spans="2:10" x14ac:dyDescent="0.2">
      <c r="F78" s="22">
        <v>1.6</v>
      </c>
      <c r="G78" s="33">
        <v>1.7</v>
      </c>
      <c r="H78" s="24">
        <v>1.8</v>
      </c>
    </row>
    <row r="79" spans="2:10" x14ac:dyDescent="0.2">
      <c r="F79" s="22">
        <v>2</v>
      </c>
      <c r="G79" s="33">
        <v>2</v>
      </c>
      <c r="H79" s="24">
        <v>2</v>
      </c>
    </row>
    <row r="80" spans="2:10" x14ac:dyDescent="0.2">
      <c r="F80" s="25">
        <v>2.2000000000000002</v>
      </c>
      <c r="G80" s="34">
        <v>2.2999999999999998</v>
      </c>
      <c r="H80" s="27">
        <v>2.4</v>
      </c>
    </row>
  </sheetData>
  <dataConsolidate/>
  <mergeCells count="16">
    <mergeCell ref="H63:J63"/>
    <mergeCell ref="H65:J65"/>
    <mergeCell ref="H71:J71"/>
    <mergeCell ref="H67:J67"/>
    <mergeCell ref="H69:J69"/>
    <mergeCell ref="B4:C5"/>
    <mergeCell ref="B6:C35"/>
    <mergeCell ref="D71:F71"/>
    <mergeCell ref="C57:C72"/>
    <mergeCell ref="B36:B72"/>
    <mergeCell ref="D63:F63"/>
    <mergeCell ref="D65:F65"/>
    <mergeCell ref="D67:F67"/>
    <mergeCell ref="D69:F69"/>
    <mergeCell ref="C43:C56"/>
    <mergeCell ref="C36:C42"/>
  </mergeCells>
  <dataValidations count="2">
    <dataValidation allowBlank="1" sqref="J66 J68 J70 F66 F68 F70" xr:uid="{10A7873E-E300-C140-A48C-0B02D68D6EFC}"/>
    <dataValidation errorStyle="warning" allowBlank="1" errorTitle="Number of Packs not valid" prompt="Please enter a value between 100'000 and 100'000'000 #" sqref="F39:F40" xr:uid="{598E3D3B-F619-B145-867A-ABB7B336568B}"/>
  </dataValidations>
  <pageMargins left="0.7" right="0.7" top="0.78740157499999996" bottom="0.78740157499999996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4">
        <x14:dataValidation type="list" allowBlank="1" showInputMessage="1" showErrorMessage="1" xr:uid="{428033FF-6FB5-7C45-9C94-92869C8E6F5A}">
          <x14:formula1>
            <xm:f>Parameters!$B$6:$B$8</xm:f>
          </x14:formula1>
          <xm:sqref>F6</xm:sqref>
        </x14:dataValidation>
        <x14:dataValidation type="list" allowBlank="1" showInputMessage="1" showErrorMessage="1" xr:uid="{71CA4B69-812A-DB4B-B462-00A11AF0E88B}">
          <x14:formula1>
            <xm:f>Parameters!$C$6:$C$12</xm:f>
          </x14:formula1>
          <xm:sqref>F7</xm:sqref>
        </x14:dataValidation>
        <x14:dataValidation type="list" allowBlank="1" showInputMessage="1" showErrorMessage="1" xr:uid="{4A3F6895-0BA1-944E-A38F-F033DB69A10E}">
          <x14:formula1>
            <xm:f>Parameters!$F$6:$F$8</xm:f>
          </x14:formula1>
          <xm:sqref>F10</xm:sqref>
        </x14:dataValidation>
        <x14:dataValidation type="list" errorStyle="warning" allowBlank="1" showInputMessage="1" showErrorMessage="1" errorTitle="Avg Payload not valid" prompt="Please enter a value between 1000 and 20'000 kg" xr:uid="{E06AD8F3-CEF8-9947-AE7C-B9745EF7E54E}">
          <x14:formula1>
            <xm:f>Parameters!$H$6:$H$24</xm:f>
          </x14:formula1>
          <xm:sqref>F12</xm:sqref>
        </x14:dataValidation>
        <x14:dataValidation type="list" allowBlank="1" showInputMessage="1" showErrorMessage="1" xr:uid="{928F3EED-1D0A-6246-BC3B-95A38E6E17FE}">
          <x14:formula1>
            <xm:f>Parameters!$U$6:$U$12</xm:f>
          </x14:formula1>
          <xm:sqref>F44</xm:sqref>
        </x14:dataValidation>
        <x14:dataValidation type="list" errorStyle="warning" allowBlank="1" showInputMessage="1" showErrorMessage="1" xr:uid="{F310D26E-043E-DC43-9AE9-C6FB154ADF1A}">
          <x14:formula1>
            <xm:f>Parameters!$W$6:$W$9</xm:f>
          </x14:formula1>
          <xm:sqref>F46</xm:sqref>
        </x14:dataValidation>
        <x14:dataValidation type="list" allowBlank="1" xr:uid="{79208F92-6BFA-8D4C-952C-F20562569D17}">
          <x14:formula1>
            <xm:f>Parameters!$F$108:$T$108</xm:f>
          </x14:formula1>
          <xm:sqref>F62</xm:sqref>
        </x14:dataValidation>
        <x14:dataValidation type="list" allowBlank="1" showInputMessage="1" showErrorMessage="1" xr:uid="{B4C11C7C-DCEC-C440-A3ED-F8CF61FB4DBC}">
          <x14:formula1>
            <xm:f>Parameters!$M$6:$M$57</xm:f>
          </x14:formula1>
          <xm:sqref>F13:F14</xm:sqref>
        </x14:dataValidation>
        <x14:dataValidation type="list" errorStyle="warning" allowBlank="1" xr:uid="{3329DDD8-BBEA-9241-9C25-4448556DA338}">
          <x14:formula1>
            <xm:f>Parameters!$E$84:$M$84</xm:f>
          </x14:formula1>
          <xm:sqref>F51</xm:sqref>
        </x14:dataValidation>
        <x14:dataValidation type="list" errorStyle="warning" allowBlank="1" errorTitle="Number of Relays invalid" xr:uid="{4A2F5966-10C8-8B47-BA39-E8EC031447A3}">
          <x14:formula1>
            <xm:f>Parameters!$E$90:$M$90</xm:f>
          </x14:formula1>
          <xm:sqref>F53</xm:sqref>
        </x14:dataValidation>
        <x14:dataValidation type="list" errorStyle="warning" allowBlank="1" errorTitle="Number of Current Sensor invalid" prompt="Please enter a value between 0 and 4" xr:uid="{4110E9F5-8CBE-B441-9C9B-9EC45EE74D62}">
          <x14:formula1>
            <xm:f>Parameters!$E$96:$M$96</xm:f>
          </x14:formula1>
          <xm:sqref>F55</xm:sqref>
        </x14:dataValidation>
        <x14:dataValidation type="list" allowBlank="1" showInputMessage="1" showErrorMessage="1" xr:uid="{9A3999F9-6C8F-F844-8C02-727BBC7DBA7F}">
          <x14:formula1>
            <xm:f>Parameters!$E$96:$M$96</xm:f>
          </x14:formula1>
          <xm:sqref>F58</xm:sqref>
        </x14:dataValidation>
        <x14:dataValidation type="list" allowBlank="1" showInputMessage="1" showErrorMessage="1" xr:uid="{AED33414-E29B-E940-9A69-0F69E68E8B7B}">
          <x14:formula1>
            <xm:f>Parameters!$E$102:$M$102</xm:f>
          </x14:formula1>
          <xm:sqref>F60</xm:sqref>
        </x14:dataValidation>
        <x14:dataValidation type="list" allowBlank="1" xr:uid="{FB2108F1-B835-B241-A85D-49CD2DCB6C4A}">
          <x14:formula1>
            <xm:f>Parameters!$E$66:$N$66</xm:f>
          </x14:formula1>
          <xm:sqref>F57</xm:sqref>
        </x14:dataValidation>
        <x14:dataValidation type="list" allowBlank="1" showInputMessage="1" showErrorMessage="1" xr:uid="{4A4E9ADF-5185-A044-8171-1920C3BA0FE3}">
          <x14:formula1>
            <xm:f>Parameters!$E$66:$N$66</xm:f>
          </x14:formula1>
          <xm:sqref>F48</xm:sqref>
        </x14:dataValidation>
        <x14:dataValidation type="list" allowBlank="1" showInputMessage="1" showErrorMessage="1" xr:uid="{10BAC14A-08AF-CB4C-93AC-08AE7A4562F0}">
          <x14:formula1>
            <xm:f>Parameters!$AM$6:$AM$7</xm:f>
          </x14:formula1>
          <xm:sqref>F4</xm:sqref>
        </x14:dataValidation>
        <x14:dataValidation type="list" allowBlank="1" showInputMessage="1" showErrorMessage="1" xr:uid="{8E8FDD2F-CCE0-9D44-918D-192723DA84DE}">
          <x14:formula1>
            <xm:f>Parameters!$AJ$6:$AJ$23</xm:f>
          </x14:formula1>
          <xm:sqref>F5</xm:sqref>
        </x14:dataValidation>
        <x14:dataValidation type="whole" errorStyle="warning" allowBlank="1" showInputMessage="1" showErrorMessage="1" errorTitle="Number of temp sensor invalid" prompt="Please enter a value between 0 and 5" xr:uid="{613B5CC0-4C3B-DC46-87B2-45A3973288B8}">
          <x14:formula1>
            <xm:f>Parameters!AH6</xm:f>
          </x14:formula1>
          <x14:formula2>
            <xm:f>Parameters!AH7</xm:f>
          </x14:formula2>
          <xm:sqref>F61</xm:sqref>
        </x14:dataValidation>
        <x14:dataValidation type="list" allowBlank="1" showInputMessage="1" showErrorMessage="1" xr:uid="{A291DA79-584B-1F49-B4C0-A78A7751B68A}">
          <x14:formula1>
            <xm:f>Parameters!E78:M78</xm:f>
          </x14:formula1>
          <xm:sqref>F49</xm:sqref>
        </x14:dataValidation>
        <x14:dataValidation type="whole" errorStyle="warning" allowBlank="1" showInputMessage="1" showErrorMessage="1" errorTitle="Number of Voltage Sensor invalid" prompt="Please enter a value between 0 and 4" xr:uid="{4EACAC85-094F-C04C-8463-E2FAAD777B6C}">
          <x14:formula1>
            <xm:f>Parameters!AB6</xm:f>
          </x14:formula1>
          <x14:formula2>
            <xm:f>Parameters!AB7</xm:f>
          </x14:formula2>
          <xm:sqref>F56</xm:sqref>
        </x14:dataValidation>
        <x14:dataValidation type="whole" errorStyle="warning" allowBlank="1" showInputMessage="1" showErrorMessage="1" errorTitle="Number of Current Sensor invalid" prompt="Please enter a value between 0 and 4" xr:uid="{0C9A45BD-FA42-1043-AFB4-87CD453F9936}">
          <x14:formula1>
            <xm:f>Parameters!AA6</xm:f>
          </x14:formula1>
          <x14:formula2>
            <xm:f>Parameters!AA7</xm:f>
          </x14:formula2>
          <xm:sqref>F54</xm:sqref>
        </x14:dataValidation>
        <x14:dataValidation type="whole" errorStyle="warning" allowBlank="1" showInputMessage="1" showErrorMessage="1" errorTitle="Number of Relays invalid" prompt="Please enter a value between 1 and 4" xr:uid="{6245FF48-F693-7A42-8C24-4894AF66FE27}">
          <x14:formula1>
            <xm:f>Parameters!Z6</xm:f>
          </x14:formula1>
          <x14:formula2>
            <xm:f>Parameters!Z7</xm:f>
          </x14:formula2>
          <xm:sqref>F52</xm:sqref>
        </x14:dataValidation>
        <x14:dataValidation type="whole" errorStyle="warning" allowBlank="1" showInputMessage="1" showErrorMessage="1" errorTitle="Number of Fuses invalid" prompt="Please enter a value between 1 and 4" xr:uid="{D00E5F68-BF42-3941-83FC-BF03083B5090}">
          <x14:formula1>
            <xm:f>Parameters!Y6</xm:f>
          </x14:formula1>
          <x14:formula2>
            <xm:f>Parameters!Y7</xm:f>
          </x14:formula2>
          <xm:sqref>F50</xm:sqref>
        </x14:dataValidation>
        <x14:dataValidation type="decimal" errorStyle="warning" allowBlank="1" showInputMessage="1" showErrorMessage="1" errorTitle="Pack Casing Thickness invalid" prompt="Please enter a value between 0,5 and 10 mm" xr:uid="{AA207BBD-F3DD-0746-B236-D2A8B4EB3DAC}">
          <x14:formula1>
            <xm:f>Parameters!V6</xm:f>
          </x14:formula1>
          <x14:formula2>
            <xm:f>Parameters!V7</xm:f>
          </x14:formula2>
          <xm:sqref>F45</xm:sqref>
        </x14:dataValidation>
        <x14:dataValidation type="decimal" allowBlank="1" showInputMessage="1" showErrorMessage="1" xr:uid="{C15FB60C-2D28-844A-A6F1-D0ECE8ADC6EF}">
          <x14:formula1>
            <xm:f>Parameters!X6</xm:f>
          </x14:formula1>
          <x14:formula2>
            <xm:f>Parameters!X7</xm:f>
          </x14:formula2>
          <xm:sqref>F47</xm:sqref>
        </x14:dataValidation>
        <x14:dataValidation type="whole" errorStyle="warning" allowBlank="1" showInputMessage="1" showErrorMessage="1" errorTitle="Pack Target Voltage not valid" prompt="Please enter a value between 50 and 1'000 V" xr:uid="{801C3D44-0A80-C04E-BA5D-B0B5BC0DEF49}">
          <x14:formula1>
            <xm:f>Parameters!T6</xm:f>
          </x14:formula1>
          <x14:formula2>
            <xm:f>Parameters!T7</xm:f>
          </x14:formula2>
          <xm:sqref>F43</xm:sqref>
        </x14:dataValidation>
        <x14:dataValidation type="whole" errorStyle="warning" allowBlank="1" showInputMessage="1" showErrorMessage="1" errorTitle="Number of Packs not valid" prompt="Please enter a value between 1 and 10 #" xr:uid="{F88CDC25-7DE6-3E4C-84E2-1E44C10F3230}">
          <x14:formula1>
            <xm:f>Parameters!R6</xm:f>
          </x14:formula1>
          <x14:formula2>
            <xm:f>Parameters!R7</xm:f>
          </x14:formula2>
          <xm:sqref>F41</xm:sqref>
        </x14:dataValidation>
        <x14:dataValidation type="whole" errorStyle="warning" allowBlank="1" showInputMessage="1" showErrorMessage="1" errorTitle="Number of Packs not valid" prompt="Please enter a value between 100'000 and 100'000'000 #" xr:uid="{34D33CC1-E71F-F447-B286-B59A5173E3F4}">
          <x14:formula1>
            <xm:f>Parameters!S6</xm:f>
          </x14:formula1>
          <x14:formula2>
            <xm:f>Parameters!S7</xm:f>
          </x14:formula2>
          <xm:sqref>F42</xm:sqref>
        </x14:dataValidation>
        <x14:dataValidation type="whole" errorStyle="warning" allowBlank="1" showInputMessage="1" showErrorMessage="1" errorTitle="System Target Voltage not valid" prompt="Please enter a value between 200 and 1'000 V" xr:uid="{77006F3B-FEDB-704C-BBB2-8B2985BB89EE}">
          <x14:formula1>
            <xm:f>Parameters!O6</xm:f>
          </x14:formula1>
          <x14:formula2>
            <xm:f>Parameters!O7</xm:f>
          </x14:formula2>
          <xm:sqref>F36</xm:sqref>
        </x14:dataValidation>
        <x14:dataValidation type="whole" errorStyle="warning" allowBlank="1" showInputMessage="1" showErrorMessage="1" errorTitle="System Target Energy not valid" prompt="Please enter a value between 60 and 1'000 kWh" xr:uid="{3EDCB2D5-EA38-7548-868B-1CDC36C319B4}">
          <x14:formula1>
            <xm:f>Parameters!P6</xm:f>
          </x14:formula1>
          <x14:formula2>
            <xm:f>Parameters!P7</xm:f>
          </x14:formula2>
          <xm:sqref>F37</xm:sqref>
        </x14:dataValidation>
        <x14:dataValidation type="whole" errorStyle="warning" allowBlank="1" showInputMessage="1" showErrorMessage="1" errorTitle="System Target Power not valid" prompt="Please enter a value between 100 and 600 kW" xr:uid="{A715B024-F8D7-4240-9839-B1D9569B97FA}">
          <x14:formula1>
            <xm:f>Parameters!Q6</xm:f>
          </x14:formula1>
          <x14:formula2>
            <xm:f>Parameters!Q7</xm:f>
          </x14:formula2>
          <xm:sqref>F38</xm:sqref>
        </x14:dataValidation>
        <x14:dataValidation type="whole" errorStyle="warning" allowBlank="1" showInputMessage="1" showErrorMessage="1" errorTitle="Year is not valid" prompt="Please enter a value between 2020 and 2050" xr:uid="{C2E91889-995E-5E4D-8987-C91DCEACBD77}">
          <x14:formula1>
            <xm:f>Parameters!D6</xm:f>
          </x14:formula1>
          <x14:formula2>
            <xm:f>Parameters!D7</xm:f>
          </x14:formula2>
          <xm:sqref>F8</xm:sqref>
        </x14:dataValidation>
        <x14:dataValidation type="whole" errorStyle="warning" allowBlank="1" showInputMessage="1" showErrorMessage="1" errorTitle="Mileage not valid" prompt="Please enter a value between 100'000 and 2'000'000 km" xr:uid="{C69DC79E-3B93-8F4E-BDC7-EA9B3854892D}">
          <x14:formula1>
            <xm:f>Parameters!E6</xm:f>
          </x14:formula1>
          <x14:formula2>
            <xm:f>Parameters!E7</xm:f>
          </x14:formula2>
          <xm:sqref>F9</xm:sqref>
        </x14:dataValidation>
        <x14:dataValidation type="whole" errorStyle="warning" allowBlank="1" showInputMessage="1" showErrorMessage="1" errorTitle="Target Range not valid" prompt="Please enter a value between 50 and 1000 km" xr:uid="{3E4B0FDC-FCD3-4D42-9428-9BA6753B61D8}">
          <x14:formula1>
            <xm:f>Parameters!G6</xm:f>
          </x14:formula1>
          <x14:formula2>
            <xm:f>Parameters!G7</xm:f>
          </x14:formula2>
          <xm:sqref>F11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F569-0211-7E40-BD18-13F408EBB24A}">
  <dimension ref="B2:J114"/>
  <sheetViews>
    <sheetView topLeftCell="C87" zoomScale="108" zoomScaleNormal="171" workbookViewId="0">
      <selection activeCell="D105" sqref="D105"/>
    </sheetView>
  </sheetViews>
  <sheetFormatPr baseColWidth="10" defaultRowHeight="16" x14ac:dyDescent="0.2"/>
  <cols>
    <col min="2" max="2" width="12.1640625" customWidth="1"/>
    <col min="3" max="3" width="10" customWidth="1"/>
    <col min="4" max="4" width="29.83203125" customWidth="1"/>
    <col min="6" max="6" width="13" bestFit="1" customWidth="1"/>
  </cols>
  <sheetData>
    <row r="2" spans="2:10" ht="32" x14ac:dyDescent="0.4">
      <c r="B2" s="1" t="s">
        <v>154</v>
      </c>
    </row>
    <row r="5" spans="2:10" ht="16" customHeight="1" x14ac:dyDescent="0.2">
      <c r="B5" s="36" t="s">
        <v>3</v>
      </c>
      <c r="C5" s="36"/>
      <c r="D5" t="s">
        <v>0</v>
      </c>
      <c r="E5" t="s">
        <v>47</v>
      </c>
      <c r="F5" s="9" t="str">
        <f>Selection!F6</f>
        <v>BEV</v>
      </c>
    </row>
    <row r="6" spans="2:10" x14ac:dyDescent="0.2">
      <c r="B6" s="36"/>
      <c r="C6" s="36"/>
      <c r="D6" t="s">
        <v>4</v>
      </c>
      <c r="E6" t="s">
        <v>48</v>
      </c>
      <c r="F6" s="9" t="str">
        <f>Selection!F7</f>
        <v>40t</v>
      </c>
    </row>
    <row r="7" spans="2:10" x14ac:dyDescent="0.2">
      <c r="B7" s="36"/>
      <c r="C7" s="36"/>
      <c r="D7" t="s">
        <v>5</v>
      </c>
      <c r="E7" t="s">
        <v>49</v>
      </c>
      <c r="F7" s="9">
        <f>Selection!F8</f>
        <v>2030</v>
      </c>
    </row>
    <row r="8" spans="2:10" x14ac:dyDescent="0.2">
      <c r="B8" s="36"/>
      <c r="C8" s="36"/>
      <c r="D8" t="s">
        <v>6</v>
      </c>
      <c r="E8" t="s">
        <v>50</v>
      </c>
      <c r="F8" s="9">
        <f>Selection!F9</f>
        <v>1000000</v>
      </c>
    </row>
    <row r="9" spans="2:10" x14ac:dyDescent="0.2">
      <c r="B9" s="36"/>
      <c r="C9" s="36"/>
      <c r="D9" t="s">
        <v>7</v>
      </c>
      <c r="E9" t="s">
        <v>47</v>
      </c>
      <c r="F9" s="9" t="str">
        <f>Selection!F10</f>
        <v>Long haul</v>
      </c>
    </row>
    <row r="10" spans="2:10" x14ac:dyDescent="0.2">
      <c r="B10" s="36"/>
      <c r="C10" s="36"/>
      <c r="D10" t="s">
        <v>8</v>
      </c>
      <c r="E10" t="s">
        <v>50</v>
      </c>
      <c r="F10" s="9">
        <f>Selection!F11</f>
        <v>600</v>
      </c>
    </row>
    <row r="11" spans="2:10" x14ac:dyDescent="0.2">
      <c r="B11" s="36"/>
      <c r="C11" s="36"/>
      <c r="D11" t="s">
        <v>1</v>
      </c>
      <c r="E11" t="s">
        <v>51</v>
      </c>
      <c r="F11" s="9">
        <f>Selection!F12</f>
        <v>15000</v>
      </c>
    </row>
    <row r="12" spans="2:10" ht="17" customHeight="1" x14ac:dyDescent="0.2">
      <c r="B12" s="36"/>
      <c r="C12" s="36"/>
      <c r="D12" t="s">
        <v>280</v>
      </c>
      <c r="E12" t="s">
        <v>47</v>
      </c>
      <c r="F12" s="9" t="str">
        <f>_xlfn.XLOOKUP(Selection!F13,Parameters!$M$6:$M$57,Parameters!$L$6:$L$57)</f>
        <v>AT</v>
      </c>
      <c r="I12" s="10"/>
      <c r="J12" s="10"/>
    </row>
    <row r="13" spans="2:10" x14ac:dyDescent="0.2">
      <c r="B13" s="36"/>
      <c r="C13" s="36"/>
      <c r="D13" t="s">
        <v>281</v>
      </c>
      <c r="E13" t="s">
        <v>47</v>
      </c>
      <c r="F13" s="9" t="str">
        <f>_xlfn.XLOOKUP(Selection!F14,Parameters!$M$6:$M$57,Parameters!$L$6:$L$57)</f>
        <v>AT</v>
      </c>
    </row>
    <row r="14" spans="2:10" ht="16" customHeight="1" x14ac:dyDescent="0.2">
      <c r="B14" s="36" t="s">
        <v>45</v>
      </c>
      <c r="C14" s="36" t="s">
        <v>62</v>
      </c>
      <c r="D14" t="s">
        <v>60</v>
      </c>
      <c r="E14" t="s">
        <v>53</v>
      </c>
      <c r="F14" s="9">
        <f>Selection!F36</f>
        <v>830</v>
      </c>
    </row>
    <row r="15" spans="2:10" x14ac:dyDescent="0.2">
      <c r="B15" s="36"/>
      <c r="C15" s="36"/>
      <c r="D15" t="s">
        <v>59</v>
      </c>
      <c r="E15" t="s">
        <v>54</v>
      </c>
      <c r="F15" s="9">
        <f>Selection!F37</f>
        <v>690</v>
      </c>
    </row>
    <row r="16" spans="2:10" x14ac:dyDescent="0.2">
      <c r="B16" s="36"/>
      <c r="C16" s="36"/>
      <c r="D16" t="s">
        <v>61</v>
      </c>
      <c r="E16" t="s">
        <v>80</v>
      </c>
      <c r="F16" s="9">
        <f>Selection!F38</f>
        <v>450</v>
      </c>
    </row>
    <row r="17" spans="2:6" x14ac:dyDescent="0.2">
      <c r="B17" s="36"/>
      <c r="C17" s="36"/>
      <c r="D17" t="s">
        <v>377</v>
      </c>
      <c r="E17" t="s">
        <v>52</v>
      </c>
      <c r="F17" s="9">
        <f>Selection!F39</f>
        <v>0.88</v>
      </c>
    </row>
    <row r="18" spans="2:6" x14ac:dyDescent="0.2">
      <c r="B18" s="36"/>
      <c r="C18" s="36"/>
      <c r="D18" t="s">
        <v>378</v>
      </c>
      <c r="E18" t="s">
        <v>52</v>
      </c>
      <c r="F18" s="9">
        <f>Selection!F40+1</f>
        <v>1.05</v>
      </c>
    </row>
    <row r="19" spans="2:6" x14ac:dyDescent="0.2">
      <c r="B19" s="36"/>
      <c r="C19" s="36" t="s">
        <v>84</v>
      </c>
      <c r="D19" t="s">
        <v>57</v>
      </c>
      <c r="E19" t="s">
        <v>58</v>
      </c>
      <c r="F19" s="9">
        <f>Selection!F41</f>
        <v>6</v>
      </c>
    </row>
    <row r="20" spans="2:6" x14ac:dyDescent="0.2">
      <c r="B20" s="36"/>
      <c r="C20" s="36"/>
      <c r="D20" t="s">
        <v>121</v>
      </c>
      <c r="E20" t="s">
        <v>122</v>
      </c>
      <c r="F20" s="9">
        <f>Selection!F42</f>
        <v>100000000</v>
      </c>
    </row>
    <row r="21" spans="2:6" x14ac:dyDescent="0.2">
      <c r="B21" s="36"/>
      <c r="C21" s="36"/>
      <c r="D21" t="s">
        <v>85</v>
      </c>
      <c r="E21" t="s">
        <v>53</v>
      </c>
      <c r="F21" s="9">
        <f>Selection!F43</f>
        <v>830</v>
      </c>
    </row>
    <row r="22" spans="2:6" x14ac:dyDescent="0.2">
      <c r="B22" s="36"/>
      <c r="C22" s="36"/>
      <c r="D22" t="s">
        <v>88</v>
      </c>
      <c r="E22" t="s">
        <v>47</v>
      </c>
      <c r="F22" s="9" t="str">
        <f>Selection!F44</f>
        <v>Aluminium</v>
      </c>
    </row>
    <row r="23" spans="2:6" x14ac:dyDescent="0.2">
      <c r="B23" s="36"/>
      <c r="C23" s="36"/>
      <c r="D23" t="s">
        <v>109</v>
      </c>
      <c r="E23" t="s">
        <v>110</v>
      </c>
      <c r="F23" s="9">
        <f>Selection!F45</f>
        <v>5</v>
      </c>
    </row>
    <row r="24" spans="2:6" x14ac:dyDescent="0.2">
      <c r="B24" s="36"/>
      <c r="C24" s="36"/>
      <c r="D24" t="s">
        <v>87</v>
      </c>
      <c r="E24" t="s">
        <v>47</v>
      </c>
      <c r="F24" s="9" t="str">
        <f>Selection!F46</f>
        <v>Glycol Cooling Plate</v>
      </c>
    </row>
    <row r="25" spans="2:6" x14ac:dyDescent="0.2">
      <c r="B25" s="36"/>
      <c r="C25" s="36"/>
      <c r="D25" t="s">
        <v>86</v>
      </c>
      <c r="E25" t="s">
        <v>94</v>
      </c>
      <c r="F25" s="9">
        <f>Selection!F47</f>
        <v>33</v>
      </c>
    </row>
    <row r="26" spans="2:6" x14ac:dyDescent="0.2">
      <c r="B26" s="36"/>
      <c r="C26" s="36"/>
      <c r="D26" t="s">
        <v>282</v>
      </c>
      <c r="E26" t="s">
        <v>47</v>
      </c>
      <c r="F26" s="9" t="str">
        <f>Selection!F48</f>
        <v>pack_bms_default</v>
      </c>
    </row>
    <row r="27" spans="2:6" x14ac:dyDescent="0.2">
      <c r="B27" s="36"/>
      <c r="C27" s="36"/>
      <c r="D27" t="s">
        <v>343</v>
      </c>
      <c r="E27" t="s">
        <v>67</v>
      </c>
      <c r="F27" s="9">
        <f>_xlfn.XLOOKUP(F$26,Parameters!$E$66:$N$66,Parameters!$E67:$N67)</f>
        <v>15</v>
      </c>
    </row>
    <row r="28" spans="2:6" x14ac:dyDescent="0.2">
      <c r="B28" s="36"/>
      <c r="C28" s="36"/>
      <c r="D28" t="s">
        <v>344</v>
      </c>
      <c r="E28" t="s">
        <v>67</v>
      </c>
      <c r="F28" s="9">
        <f>_xlfn.XLOOKUP(F$26,Parameters!$E$66:$N$66,Parameters!$E68:$N68)</f>
        <v>12</v>
      </c>
    </row>
    <row r="29" spans="2:6" x14ac:dyDescent="0.2">
      <c r="B29" s="36"/>
      <c r="C29" s="36"/>
      <c r="D29" t="s">
        <v>345</v>
      </c>
      <c r="E29" t="s">
        <v>67</v>
      </c>
      <c r="F29" s="9">
        <f>_xlfn.XLOOKUP(F$26,Parameters!$E$66:$N$66,Parameters!$E69:$N69)</f>
        <v>3</v>
      </c>
    </row>
    <row r="30" spans="2:6" x14ac:dyDescent="0.2">
      <c r="B30" s="36"/>
      <c r="C30" s="36"/>
      <c r="D30" t="s">
        <v>353</v>
      </c>
      <c r="E30" t="s">
        <v>51</v>
      </c>
      <c r="F30" s="9">
        <f>_xlfn.XLOOKUP(F$26,Parameters!$E$66:$N$66,Parameters!$E70:$N70)</f>
        <v>0.4</v>
      </c>
    </row>
    <row r="31" spans="2:6" x14ac:dyDescent="0.2">
      <c r="B31" s="36"/>
      <c r="C31" s="36"/>
      <c r="D31" t="s">
        <v>283</v>
      </c>
      <c r="E31" t="s">
        <v>47</v>
      </c>
      <c r="F31" s="9" t="str">
        <f>Selection!F49</f>
        <v>fuse_default</v>
      </c>
    </row>
    <row r="32" spans="2:6" x14ac:dyDescent="0.2">
      <c r="B32" s="36"/>
      <c r="C32" s="36"/>
      <c r="D32" s="2" t="s">
        <v>325</v>
      </c>
      <c r="E32" t="s">
        <v>67</v>
      </c>
      <c r="F32" s="9">
        <f>_xlfn.XLOOKUP(F$31,Parameters!$E$78:$N$78,Parameters!$E79:$N79)</f>
        <v>3</v>
      </c>
    </row>
    <row r="33" spans="2:6" x14ac:dyDescent="0.2">
      <c r="B33" s="36"/>
      <c r="C33" s="36"/>
      <c r="D33" s="2" t="s">
        <v>326</v>
      </c>
      <c r="E33" t="s">
        <v>67</v>
      </c>
      <c r="F33" s="9">
        <f>_xlfn.XLOOKUP(F$31,Parameters!$E$78:$N$78,Parameters!$E80:$N80)</f>
        <v>5</v>
      </c>
    </row>
    <row r="34" spans="2:6" x14ac:dyDescent="0.2">
      <c r="B34" s="36"/>
      <c r="C34" s="36"/>
      <c r="D34" s="2" t="s">
        <v>327</v>
      </c>
      <c r="E34" t="s">
        <v>67</v>
      </c>
      <c r="F34" s="9">
        <f>_xlfn.XLOOKUP(F$31,Parameters!$E$78:$N$78,Parameters!$E81:$N81)</f>
        <v>10</v>
      </c>
    </row>
    <row r="35" spans="2:6" x14ac:dyDescent="0.2">
      <c r="B35" s="36"/>
      <c r="C35" s="36"/>
      <c r="D35" s="2" t="s">
        <v>354</v>
      </c>
      <c r="E35" t="s">
        <v>51</v>
      </c>
      <c r="F35" s="9">
        <f>_xlfn.XLOOKUP(F$31,Parameters!$E$78:$N$78,Parameters!$E82:$N82)</f>
        <v>0.15</v>
      </c>
    </row>
    <row r="36" spans="2:6" x14ac:dyDescent="0.2">
      <c r="B36" s="36"/>
      <c r="C36" s="36"/>
      <c r="D36" t="s">
        <v>333</v>
      </c>
      <c r="E36" t="s">
        <v>96</v>
      </c>
      <c r="F36" s="9">
        <f>Selection!F50</f>
        <v>2</v>
      </c>
    </row>
    <row r="37" spans="2:6" x14ac:dyDescent="0.2">
      <c r="B37" s="36"/>
      <c r="C37" s="36"/>
      <c r="D37" t="s">
        <v>284</v>
      </c>
      <c r="E37" t="s">
        <v>47</v>
      </c>
      <c r="F37" s="9" t="str">
        <f>Selection!F51</f>
        <v>relay_default</v>
      </c>
    </row>
    <row r="38" spans="2:6" x14ac:dyDescent="0.2">
      <c r="B38" s="36"/>
      <c r="C38" s="36"/>
      <c r="D38" s="2" t="s">
        <v>328</v>
      </c>
      <c r="E38" t="s">
        <v>67</v>
      </c>
      <c r="F38" s="14">
        <f>_xlfn.XLOOKUP(F$37,Parameters!$E$84:$N$84,Parameters!$E85:$N85)</f>
        <v>5</v>
      </c>
    </row>
    <row r="39" spans="2:6" x14ac:dyDescent="0.2">
      <c r="B39" s="36"/>
      <c r="C39" s="36"/>
      <c r="D39" s="2" t="s">
        <v>329</v>
      </c>
      <c r="E39" t="s">
        <v>67</v>
      </c>
      <c r="F39" s="14">
        <f>_xlfn.XLOOKUP(F$37,Parameters!$E$84:$N$84,Parameters!$E86:$N86)</f>
        <v>5</v>
      </c>
    </row>
    <row r="40" spans="2:6" x14ac:dyDescent="0.2">
      <c r="B40" s="36"/>
      <c r="C40" s="36"/>
      <c r="D40" s="2" t="s">
        <v>330</v>
      </c>
      <c r="E40" t="s">
        <v>67</v>
      </c>
      <c r="F40" s="14">
        <f>_xlfn.XLOOKUP(F$37,Parameters!$E$84:$N$84,Parameters!$E87:$N87)</f>
        <v>10</v>
      </c>
    </row>
    <row r="41" spans="2:6" x14ac:dyDescent="0.2">
      <c r="B41" s="36"/>
      <c r="C41" s="36"/>
      <c r="D41" s="2" t="s">
        <v>355</v>
      </c>
      <c r="E41" t="s">
        <v>51</v>
      </c>
      <c r="F41" s="13">
        <f>_xlfn.XLOOKUP(F$37,Parameters!$E$84:$N$84,Parameters!$E88:$N88)</f>
        <v>0.1</v>
      </c>
    </row>
    <row r="42" spans="2:6" x14ac:dyDescent="0.2">
      <c r="B42" s="36"/>
      <c r="C42" s="36"/>
      <c r="D42" t="s">
        <v>332</v>
      </c>
      <c r="E42" t="s">
        <v>96</v>
      </c>
      <c r="F42" s="9">
        <f>Selection!F52</f>
        <v>2</v>
      </c>
    </row>
    <row r="43" spans="2:6" x14ac:dyDescent="0.2">
      <c r="B43" s="36"/>
      <c r="C43" s="36"/>
      <c r="D43" t="s">
        <v>285</v>
      </c>
      <c r="E43" t="s">
        <v>47</v>
      </c>
      <c r="F43" s="9" t="str">
        <f>Selection!F53</f>
        <v>current_sens_default</v>
      </c>
    </row>
    <row r="44" spans="2:6" x14ac:dyDescent="0.2">
      <c r="B44" s="36"/>
      <c r="C44" s="36"/>
      <c r="D44" s="2" t="s">
        <v>331</v>
      </c>
      <c r="E44" t="s">
        <v>67</v>
      </c>
      <c r="F44" s="14">
        <f>_xlfn.XLOOKUP(F$43,Parameters!$E$90:$N$90,Parameters!$E91:$N91)</f>
        <v>5</v>
      </c>
    </row>
    <row r="45" spans="2:6" x14ac:dyDescent="0.2">
      <c r="B45" s="36"/>
      <c r="C45" s="36"/>
      <c r="D45" s="2" t="s">
        <v>334</v>
      </c>
      <c r="E45" t="s">
        <v>67</v>
      </c>
      <c r="F45" s="14">
        <f>_xlfn.XLOOKUP(F$43,Parameters!$E$90:$N$90,Parameters!$E92:$N92)</f>
        <v>5</v>
      </c>
    </row>
    <row r="46" spans="2:6" x14ac:dyDescent="0.2">
      <c r="B46" s="36"/>
      <c r="C46" s="36"/>
      <c r="D46" s="2" t="s">
        <v>335</v>
      </c>
      <c r="E46" t="s">
        <v>67</v>
      </c>
      <c r="F46" s="14">
        <f>_xlfn.XLOOKUP(F$43,Parameters!$E$90:$N$90,Parameters!$E93:$N93)</f>
        <v>3</v>
      </c>
    </row>
    <row r="47" spans="2:6" x14ac:dyDescent="0.2">
      <c r="B47" s="36"/>
      <c r="C47" s="36"/>
      <c r="D47" s="2" t="s">
        <v>336</v>
      </c>
      <c r="E47" t="s">
        <v>51</v>
      </c>
      <c r="F47" s="9">
        <f>_xlfn.XLOOKUP(F$43,Parameters!$E$90:$N$90,Parameters!$E94:$N94)</f>
        <v>0.03</v>
      </c>
    </row>
    <row r="48" spans="2:6" x14ac:dyDescent="0.2">
      <c r="B48" s="36"/>
      <c r="C48" s="36"/>
      <c r="D48" t="s">
        <v>337</v>
      </c>
      <c r="E48" t="s">
        <v>96</v>
      </c>
      <c r="F48" s="9">
        <f>Selection!F54</f>
        <v>1</v>
      </c>
    </row>
    <row r="49" spans="2:6" x14ac:dyDescent="0.2">
      <c r="B49" s="36"/>
      <c r="C49" s="36"/>
      <c r="D49" t="s">
        <v>286</v>
      </c>
      <c r="E49" t="s">
        <v>47</v>
      </c>
      <c r="F49" s="9" t="str">
        <f>Selection!F55</f>
        <v>volt_sens_default</v>
      </c>
    </row>
    <row r="50" spans="2:6" x14ac:dyDescent="0.2">
      <c r="B50" s="36"/>
      <c r="C50" s="36"/>
      <c r="D50" s="2" t="s">
        <v>339</v>
      </c>
      <c r="E50" t="s">
        <v>67</v>
      </c>
      <c r="F50" s="14">
        <f>_xlfn.XLOOKUP(F$49,Parameters!$E$96:$N$96,Parameters!$E97:$N97)</f>
        <v>5</v>
      </c>
    </row>
    <row r="51" spans="2:6" x14ac:dyDescent="0.2">
      <c r="B51" s="36"/>
      <c r="C51" s="36"/>
      <c r="D51" s="2" t="s">
        <v>340</v>
      </c>
      <c r="E51" t="s">
        <v>67</v>
      </c>
      <c r="F51" s="14">
        <f>_xlfn.XLOOKUP(F$49,Parameters!$E$96:$N$96,Parameters!$E98:$N98)</f>
        <v>5</v>
      </c>
    </row>
    <row r="52" spans="2:6" x14ac:dyDescent="0.2">
      <c r="B52" s="36"/>
      <c r="C52" s="36"/>
      <c r="D52" s="2" t="s">
        <v>341</v>
      </c>
      <c r="E52" t="s">
        <v>67</v>
      </c>
      <c r="F52" s="14">
        <f>_xlfn.XLOOKUP(F$49,Parameters!$E$96:$N$96,Parameters!$E99:$N99)</f>
        <v>2</v>
      </c>
    </row>
    <row r="53" spans="2:6" x14ac:dyDescent="0.2">
      <c r="B53" s="36"/>
      <c r="C53" s="36"/>
      <c r="D53" s="2" t="s">
        <v>342</v>
      </c>
      <c r="E53" t="s">
        <v>51</v>
      </c>
      <c r="F53" s="13">
        <f>_xlfn.XLOOKUP(F$49,Parameters!$E$96:$N$96,Parameters!$E100:$N100)</f>
        <v>0.02</v>
      </c>
    </row>
    <row r="54" spans="2:6" x14ac:dyDescent="0.2">
      <c r="B54" s="36"/>
      <c r="C54" s="36"/>
      <c r="D54" t="s">
        <v>338</v>
      </c>
      <c r="E54" t="s">
        <v>96</v>
      </c>
      <c r="F54" s="9">
        <f>Selection!F56</f>
        <v>1</v>
      </c>
    </row>
    <row r="55" spans="2:6" x14ac:dyDescent="0.2">
      <c r="B55" s="36"/>
      <c r="C55" s="36"/>
      <c r="D55" t="s">
        <v>287</v>
      </c>
      <c r="E55" t="s">
        <v>47</v>
      </c>
      <c r="F55" s="9" t="str">
        <f>Selection!F57</f>
        <v>module_bms_default</v>
      </c>
    </row>
    <row r="56" spans="2:6" x14ac:dyDescent="0.2">
      <c r="B56" s="36"/>
      <c r="C56" s="36"/>
      <c r="D56" t="s">
        <v>313</v>
      </c>
      <c r="E56" t="s">
        <v>67</v>
      </c>
      <c r="F56" s="14">
        <f>_xlfn.XLOOKUP(F$55,Parameters!$E$66:$N$66,Parameters!$E67:$N67)</f>
        <v>12</v>
      </c>
    </row>
    <row r="57" spans="2:6" x14ac:dyDescent="0.2">
      <c r="B57" s="36"/>
      <c r="C57" s="36"/>
      <c r="D57" t="s">
        <v>314</v>
      </c>
      <c r="E57" t="s">
        <v>67</v>
      </c>
      <c r="F57" s="14">
        <f>_xlfn.XLOOKUP(F$55,Parameters!$E$66:$N$66,Parameters!$E68:$N68)</f>
        <v>8</v>
      </c>
    </row>
    <row r="58" spans="2:6" x14ac:dyDescent="0.2">
      <c r="B58" s="36"/>
      <c r="C58" s="36"/>
      <c r="D58" t="s">
        <v>315</v>
      </c>
      <c r="E58" t="s">
        <v>67</v>
      </c>
      <c r="F58" s="14">
        <f>_xlfn.XLOOKUP(F$55,Parameters!$E$66:$N$66,Parameters!$E69:$N69)</f>
        <v>1</v>
      </c>
    </row>
    <row r="59" spans="2:6" x14ac:dyDescent="0.2">
      <c r="B59" s="36"/>
      <c r="C59" s="36"/>
      <c r="D59" t="s">
        <v>316</v>
      </c>
      <c r="E59" t="s">
        <v>51</v>
      </c>
      <c r="F59" s="14">
        <f>_xlfn.XLOOKUP(F$55,Parameters!$E$66:$N$66,Parameters!$E70:$N70)</f>
        <v>0.25</v>
      </c>
    </row>
    <row r="60" spans="2:6" x14ac:dyDescent="0.2">
      <c r="B60" s="36"/>
      <c r="C60" s="36"/>
      <c r="D60" t="s">
        <v>288</v>
      </c>
      <c r="E60" t="s">
        <v>47</v>
      </c>
      <c r="F60" s="9" t="str">
        <f>Selection!F58</f>
        <v>volt_sens_default</v>
      </c>
    </row>
    <row r="61" spans="2:6" x14ac:dyDescent="0.2">
      <c r="B61" s="36"/>
      <c r="C61" s="36"/>
      <c r="D61" s="2" t="s">
        <v>317</v>
      </c>
      <c r="E61" t="s">
        <v>67</v>
      </c>
      <c r="F61" s="9">
        <f>_xlfn.XLOOKUP(F$60,Parameters!$E$96:$N$96,Parameters!$E97:$N97)</f>
        <v>5</v>
      </c>
    </row>
    <row r="62" spans="2:6" x14ac:dyDescent="0.2">
      <c r="B62" s="36"/>
      <c r="C62" s="36"/>
      <c r="D62" s="2" t="s">
        <v>319</v>
      </c>
      <c r="E62" t="s">
        <v>67</v>
      </c>
      <c r="F62" s="9">
        <f>_xlfn.XLOOKUP(F$60,Parameters!$E$96:$N$96,Parameters!$E98:$N98)</f>
        <v>5</v>
      </c>
    </row>
    <row r="63" spans="2:6" x14ac:dyDescent="0.2">
      <c r="B63" s="36"/>
      <c r="C63" s="36"/>
      <c r="D63" s="2" t="s">
        <v>318</v>
      </c>
      <c r="E63" t="s">
        <v>67</v>
      </c>
      <c r="F63" s="9">
        <f>_xlfn.XLOOKUP(F$60,Parameters!$E$96:$N$96,Parameters!$E99:$N99)</f>
        <v>2</v>
      </c>
    </row>
    <row r="64" spans="2:6" x14ac:dyDescent="0.2">
      <c r="B64" s="36"/>
      <c r="C64" s="36"/>
      <c r="D64" s="2" t="s">
        <v>320</v>
      </c>
      <c r="E64" t="s">
        <v>51</v>
      </c>
      <c r="F64" s="9">
        <f>_xlfn.XLOOKUP(F$60,Parameters!$E$96:$N$96,Parameters!$E100:$N100)</f>
        <v>0.02</v>
      </c>
    </row>
    <row r="65" spans="2:6" x14ac:dyDescent="0.2">
      <c r="B65" s="36"/>
      <c r="C65" s="36"/>
      <c r="D65" t="s">
        <v>120</v>
      </c>
      <c r="E65" t="s">
        <v>119</v>
      </c>
      <c r="F65" s="9">
        <f>Selection!F59</f>
        <v>1</v>
      </c>
    </row>
    <row r="66" spans="2:6" x14ac:dyDescent="0.2">
      <c r="B66" s="36"/>
      <c r="C66" s="36"/>
      <c r="D66" t="s">
        <v>289</v>
      </c>
      <c r="E66" t="s">
        <v>47</v>
      </c>
      <c r="F66" s="9" t="str">
        <f>Selection!F60</f>
        <v>DHT22</v>
      </c>
    </row>
    <row r="67" spans="2:6" x14ac:dyDescent="0.2">
      <c r="B67" s="36"/>
      <c r="C67" s="36"/>
      <c r="D67" s="2" t="s">
        <v>321</v>
      </c>
      <c r="E67" t="s">
        <v>67</v>
      </c>
      <c r="F67" s="9">
        <f>_xlfn.XLOOKUP(F$66,Parameters!$E$102:$N$102,Parameters!$E103:$N103)</f>
        <v>3</v>
      </c>
    </row>
    <row r="68" spans="2:6" x14ac:dyDescent="0.2">
      <c r="B68" s="36"/>
      <c r="C68" s="36"/>
      <c r="D68" s="2" t="s">
        <v>322</v>
      </c>
      <c r="E68" t="s">
        <v>67</v>
      </c>
      <c r="F68" s="9">
        <f>_xlfn.XLOOKUP(F$66,Parameters!$E$102:$N$102,Parameters!$E104:$N104)</f>
        <v>6</v>
      </c>
    </row>
    <row r="69" spans="2:6" x14ac:dyDescent="0.2">
      <c r="B69" s="36"/>
      <c r="C69" s="36"/>
      <c r="D69" s="2" t="s">
        <v>323</v>
      </c>
      <c r="E69" t="s">
        <v>67</v>
      </c>
      <c r="F69" s="9">
        <f>_xlfn.XLOOKUP(F$66,Parameters!$E$102:$N$102,Parameters!$E105:$N105)</f>
        <v>1</v>
      </c>
    </row>
    <row r="70" spans="2:6" x14ac:dyDescent="0.2">
      <c r="B70" s="36"/>
      <c r="C70" s="36"/>
      <c r="D70" s="2" t="s">
        <v>324</v>
      </c>
      <c r="E70" t="s">
        <v>51</v>
      </c>
      <c r="F70" s="9">
        <f>_xlfn.XLOOKUP(F$66,Parameters!$E$102:$N$102,Parameters!$E106:$N106)</f>
        <v>0.01</v>
      </c>
    </row>
    <row r="71" spans="2:6" x14ac:dyDescent="0.2">
      <c r="B71" s="36"/>
      <c r="C71" s="36"/>
      <c r="D71" t="s">
        <v>351</v>
      </c>
      <c r="E71" t="s">
        <v>101</v>
      </c>
      <c r="F71" s="9">
        <f>Selection!F61</f>
        <v>9</v>
      </c>
    </row>
    <row r="72" spans="2:6" x14ac:dyDescent="0.2">
      <c r="B72" s="36"/>
      <c r="C72" s="36"/>
      <c r="D72" t="s">
        <v>118</v>
      </c>
      <c r="E72" t="s">
        <v>47</v>
      </c>
      <c r="F72" s="9" t="str">
        <f>Selection!F62</f>
        <v>AVL:RWE_HVBS_2022</v>
      </c>
    </row>
    <row r="73" spans="2:6" x14ac:dyDescent="0.2">
      <c r="B73" s="36"/>
      <c r="C73" s="36"/>
      <c r="D73" t="s">
        <v>114</v>
      </c>
      <c r="E73" t="s">
        <v>47</v>
      </c>
      <c r="F73" t="str">
        <f>_xlfn.XLOOKUP($F$72,Parameters!F$108:T$108,Parameters!F109:T109)</f>
        <v>LFP</v>
      </c>
    </row>
    <row r="74" spans="2:6" x14ac:dyDescent="0.2">
      <c r="B74" s="36"/>
      <c r="C74" s="36"/>
      <c r="D74" t="s">
        <v>81</v>
      </c>
      <c r="E74" t="s">
        <v>47</v>
      </c>
      <c r="F74" t="str">
        <f>_xlfn.XLOOKUP($F$72,Parameters!F$108:T$108,Parameters!F110:T110)</f>
        <v>prismatic</v>
      </c>
    </row>
    <row r="75" spans="2:6" x14ac:dyDescent="0.2">
      <c r="B75" s="36"/>
      <c r="C75" s="36"/>
      <c r="D75" t="s">
        <v>115</v>
      </c>
      <c r="E75" t="s">
        <v>67</v>
      </c>
      <c r="F75">
        <f>_xlfn.XLOOKUP($F$72,Parameters!F$108:T$108,Parameters!F112:T112)</f>
        <v>17.600000000000001</v>
      </c>
    </row>
    <row r="76" spans="2:6" x14ac:dyDescent="0.2">
      <c r="B76" s="36"/>
      <c r="C76" s="36"/>
      <c r="D76" t="s">
        <v>116</v>
      </c>
      <c r="E76" t="s">
        <v>67</v>
      </c>
      <c r="F76">
        <f>_xlfn.XLOOKUP($F$72,Parameters!F$108:T$108,Parameters!F113:T113)</f>
        <v>4.3</v>
      </c>
    </row>
    <row r="77" spans="2:6" x14ac:dyDescent="0.2">
      <c r="B77" s="36"/>
      <c r="C77" s="36"/>
      <c r="D77" t="s">
        <v>117</v>
      </c>
      <c r="E77" t="s">
        <v>67</v>
      </c>
      <c r="F77">
        <f>_xlfn.XLOOKUP($F$72,Parameters!F$108:T$108,Parameters!F114:T114)</f>
        <v>16.399999999999999</v>
      </c>
    </row>
    <row r="78" spans="2:6" x14ac:dyDescent="0.2">
      <c r="B78" s="36"/>
      <c r="C78" s="36"/>
      <c r="D78" t="s">
        <v>63</v>
      </c>
      <c r="E78" t="s">
        <v>51</v>
      </c>
      <c r="F78">
        <f>_xlfn.XLOOKUP($F$72,Parameters!F$108:T$108,Parameters!F111:T111)</f>
        <v>2.8</v>
      </c>
    </row>
    <row r="79" spans="2:6" x14ac:dyDescent="0.2">
      <c r="B79" s="36"/>
      <c r="C79" s="36"/>
      <c r="D79" t="s">
        <v>68</v>
      </c>
      <c r="E79" t="s">
        <v>53</v>
      </c>
      <c r="F79">
        <f>_xlfn.XLOOKUP($F$72,Parameters!F$108:T$108,Parameters!F115:T115)</f>
        <v>4.2</v>
      </c>
    </row>
    <row r="80" spans="2:6" x14ac:dyDescent="0.2">
      <c r="B80" s="36"/>
      <c r="C80" s="36"/>
      <c r="D80" t="s">
        <v>69</v>
      </c>
      <c r="E80" t="s">
        <v>73</v>
      </c>
      <c r="F80">
        <f>_xlfn.XLOOKUP($F$72,Parameters!F$108:T$108,Parameters!F116:T116)</f>
        <v>95</v>
      </c>
    </row>
    <row r="81" spans="2:6" x14ac:dyDescent="0.2">
      <c r="B81" s="36"/>
      <c r="C81" s="36"/>
      <c r="D81" t="s">
        <v>70</v>
      </c>
      <c r="E81" t="s">
        <v>74</v>
      </c>
      <c r="F81">
        <f>_xlfn.XLOOKUP($F$72,Parameters!F$108:T$108,Parameters!F117:T117)</f>
        <v>162</v>
      </c>
    </row>
    <row r="82" spans="2:6" x14ac:dyDescent="0.2">
      <c r="B82" s="36"/>
      <c r="C82" s="36"/>
      <c r="D82" t="s">
        <v>71</v>
      </c>
      <c r="E82" t="s">
        <v>75</v>
      </c>
      <c r="F82">
        <f>_xlfn.XLOOKUP($F$72,Parameters!F$108:T$108,Parameters!F118:T118)</f>
        <v>580.79999999999995</v>
      </c>
    </row>
    <row r="83" spans="2:6" x14ac:dyDescent="0.2">
      <c r="B83" s="36"/>
      <c r="C83" s="36"/>
      <c r="D83" t="s">
        <v>352</v>
      </c>
      <c r="E83" t="s">
        <v>76</v>
      </c>
      <c r="F83">
        <f>_xlfn.XLOOKUP($F$72,Parameters!F$108:T$108,Parameters!F119:T119)</f>
        <v>203</v>
      </c>
    </row>
    <row r="84" spans="2:6" x14ac:dyDescent="0.2">
      <c r="B84" s="36"/>
      <c r="C84" s="36"/>
      <c r="D84" t="s">
        <v>362</v>
      </c>
      <c r="E84" t="s">
        <v>47</v>
      </c>
      <c r="F84" t="str">
        <f>_xlfn.XLOOKUP($F$72,Parameters!F$108:T$108,Parameters!F120:T120)</f>
        <v>mid</v>
      </c>
    </row>
    <row r="85" spans="2:6" x14ac:dyDescent="0.2">
      <c r="B85" s="36"/>
      <c r="C85" s="36"/>
      <c r="D85" t="s">
        <v>77</v>
      </c>
      <c r="E85" t="s">
        <v>58</v>
      </c>
      <c r="F85">
        <f>_xlfn.XLOOKUP($F$72,Parameters!F$108:T$108,Parameters!F121:T121)</f>
        <v>7000</v>
      </c>
    </row>
    <row r="86" spans="2:6" x14ac:dyDescent="0.2">
      <c r="B86" s="36"/>
      <c r="C86" s="36"/>
      <c r="D86" t="str">
        <f>Selection!D63</f>
        <v>Opt0: Module Design: Closed Casing (not sealed; PP) with foam filling</v>
      </c>
      <c r="F86" s="9"/>
    </row>
    <row r="87" spans="2:6" x14ac:dyDescent="0.2">
      <c r="B87" s="36"/>
      <c r="C87" s="36"/>
      <c r="D87" t="str">
        <f>Selection!D64</f>
        <v>Opt0: Cell-to-Cell Clearance</v>
      </c>
      <c r="E87" t="str">
        <f>Selection!E64</f>
        <v>[mm]</v>
      </c>
      <c r="F87">
        <f>Selection!F64</f>
        <v>1.2</v>
      </c>
    </row>
    <row r="88" spans="2:6" x14ac:dyDescent="0.2">
      <c r="B88" s="36"/>
      <c r="C88" s="36"/>
      <c r="D88" t="str">
        <f>Selection!D65</f>
        <v>Opt1: Module Design: Open Casing (PP) with foam filling</v>
      </c>
      <c r="F88" s="9"/>
    </row>
    <row r="89" spans="2:6" x14ac:dyDescent="0.2">
      <c r="B89" s="36"/>
      <c r="C89" s="36"/>
      <c r="D89" t="str">
        <f>Selection!D66</f>
        <v>Opt1: Cell-to-Cell Clearance</v>
      </c>
      <c r="E89" t="str">
        <f>Selection!E66</f>
        <v>[mm]</v>
      </c>
      <c r="F89">
        <f>Selection!F66</f>
        <v>1.5</v>
      </c>
    </row>
    <row r="90" spans="2:6" x14ac:dyDescent="0.2">
      <c r="B90" s="36"/>
      <c r="C90" s="36"/>
      <c r="D90" t="str">
        <f>Selection!D67</f>
        <v>Opt2: Module Design: Closed Casing (sealed; aluminium) without filling</v>
      </c>
      <c r="F90" s="9"/>
    </row>
    <row r="91" spans="2:6" x14ac:dyDescent="0.2">
      <c r="B91" s="36"/>
      <c r="C91" s="36"/>
      <c r="D91" t="str">
        <f>Selection!D68</f>
        <v>Opt2: Cell-to-Cell Clearance</v>
      </c>
      <c r="E91" t="str">
        <f>Selection!E68</f>
        <v>[mm]</v>
      </c>
      <c r="F91">
        <f>Selection!F68</f>
        <v>1.7</v>
      </c>
    </row>
    <row r="92" spans="2:6" x14ac:dyDescent="0.2">
      <c r="B92" s="36"/>
      <c r="C92" s="36"/>
      <c r="D92" t="str">
        <f>Selection!D69</f>
        <v>Opt3: Module Design: Closed Casing (not sealed; aluminium) without filling</v>
      </c>
      <c r="F92" s="9"/>
    </row>
    <row r="93" spans="2:6" x14ac:dyDescent="0.2">
      <c r="B93" s="36"/>
      <c r="C93" s="36"/>
      <c r="D93" t="str">
        <f>Selection!D70</f>
        <v>Opt3: Cell-to-Cell Clearance</v>
      </c>
      <c r="E93" t="str">
        <f>Selection!E70</f>
        <v>[mm]</v>
      </c>
      <c r="F93">
        <f>Selection!F70</f>
        <v>2</v>
      </c>
    </row>
    <row r="94" spans="2:6" x14ac:dyDescent="0.2">
      <c r="B94" s="36"/>
      <c r="C94" s="36"/>
      <c r="D94" t="str">
        <f>Selection!D71</f>
        <v>Opt4: Module Design: Open Casing (aluminium) without filling</v>
      </c>
      <c r="F94" s="9"/>
    </row>
    <row r="95" spans="2:6" x14ac:dyDescent="0.2">
      <c r="B95" s="36"/>
      <c r="C95" s="36"/>
      <c r="D95" t="str">
        <f>Selection!D72</f>
        <v>Opt4: Cell-to-Cell Clearance</v>
      </c>
      <c r="E95" t="str">
        <f>Selection!E72</f>
        <v>[mm]</v>
      </c>
      <c r="F95">
        <f>Selection!F72</f>
        <v>2.2999999999999998</v>
      </c>
    </row>
    <row r="96" spans="2:6" ht="16" customHeight="1" x14ac:dyDescent="0.2">
      <c r="B96" s="36" t="s">
        <v>368</v>
      </c>
      <c r="C96" s="36"/>
      <c r="D96" t="s">
        <v>367</v>
      </c>
      <c r="E96" t="s">
        <v>47</v>
      </c>
      <c r="F96" t="str">
        <f>Selection!F5</f>
        <v>Total Environmental Impact (distance-to-target)</v>
      </c>
    </row>
    <row r="97" spans="2:6" x14ac:dyDescent="0.2">
      <c r="B97" s="36"/>
      <c r="C97" s="36"/>
      <c r="D97" t="s">
        <v>369</v>
      </c>
      <c r="E97" t="s">
        <v>47</v>
      </c>
      <c r="F97" t="str">
        <f>Selection!F4</f>
        <v>Vehicle</v>
      </c>
    </row>
    <row r="98" spans="2:6" x14ac:dyDescent="0.2">
      <c r="B98" s="38" t="s">
        <v>365</v>
      </c>
      <c r="C98" s="38"/>
      <c r="D98" t="str">
        <f>Parameters!AJ6</f>
        <v>climate change</v>
      </c>
      <c r="E98" t="str">
        <f>Parameters!AL6</f>
        <v>kg CO2 eq / tkm (of HDV in Austria)</v>
      </c>
      <c r="F98">
        <f>Parameters!AK6</f>
        <v>9.8477353716533954E-5</v>
      </c>
    </row>
    <row r="99" spans="2:6" x14ac:dyDescent="0.2">
      <c r="B99" s="38"/>
      <c r="C99" s="38"/>
      <c r="D99" t="str">
        <f>Parameters!AJ7</f>
        <v>ozone depletion</v>
      </c>
      <c r="E99" t="str">
        <f>Parameters!AL7</f>
        <v>kg CFC11 eq / tkm (of HDV in Austria)</v>
      </c>
      <c r="F99">
        <f>Parameters!AK7</f>
        <v>8.5878045226330358E-9</v>
      </c>
    </row>
    <row r="100" spans="2:6" x14ac:dyDescent="0.2">
      <c r="B100" s="38"/>
      <c r="C100" s="38"/>
      <c r="D100" t="str">
        <f>Parameters!AJ8</f>
        <v>eutrophication: marine</v>
      </c>
      <c r="E100" t="str">
        <f>Parameters!AL8</f>
        <v>kg N eq / tkm (of HDV in Austria)</v>
      </c>
      <c r="F100">
        <f>Parameters!AK8</f>
        <v>2.9108747201504891E-6</v>
      </c>
    </row>
    <row r="101" spans="2:6" x14ac:dyDescent="0.2">
      <c r="B101" s="38"/>
      <c r="C101" s="38"/>
      <c r="D101" t="str">
        <f>Parameters!AJ9</f>
        <v>eutrophication: freshwater</v>
      </c>
      <c r="E101" t="str">
        <f>Parameters!AL9</f>
        <v>kg P eq / tkm (of HDV in Austria)</v>
      </c>
      <c r="F101">
        <f>Parameters!AK9</f>
        <v>8.414020957250916E-8</v>
      </c>
    </row>
    <row r="102" spans="2:6" x14ac:dyDescent="0.2">
      <c r="B102" s="38"/>
      <c r="C102" s="38"/>
      <c r="D102" t="str">
        <f>Parameters!AJ10</f>
        <v>acidification: terrestrial</v>
      </c>
      <c r="E102" t="str">
        <f>Parameters!AL10</f>
        <v>mol H+ eq / tkm (of HDV in Austria)</v>
      </c>
      <c r="F102">
        <f>Parameters!AK10</f>
        <v>1.4481963781843232E-5</v>
      </c>
    </row>
    <row r="103" spans="2:6" x14ac:dyDescent="0.2">
      <c r="B103" s="38"/>
      <c r="C103" s="38"/>
      <c r="D103" t="str">
        <f>Parameters!AJ11</f>
        <v>land use</v>
      </c>
      <c r="E103" t="str">
        <f>Parameters!AL11</f>
        <v>kg soil loss / tkm (of HDV in Austria)</v>
      </c>
      <c r="F103">
        <f>Parameters!AK11</f>
        <v>1.8392094002940905E-5</v>
      </c>
    </row>
    <row r="104" spans="2:6" x14ac:dyDescent="0.2">
      <c r="B104" s="38"/>
      <c r="C104" s="38"/>
      <c r="D104" t="str">
        <f>Parameters!AJ12</f>
        <v>water use</v>
      </c>
      <c r="E104" t="str">
        <f>Parameters!AL12</f>
        <v>m3 world eq / tkm (of HDV in Austria)</v>
      </c>
      <c r="F104">
        <f>Parameters!AK12</f>
        <v>2.6357174082954674E-3</v>
      </c>
    </row>
    <row r="105" spans="2:6" x14ac:dyDescent="0.2">
      <c r="B105" s="38"/>
      <c r="C105" s="38"/>
      <c r="D105" t="str">
        <f>Parameters!AJ13</f>
        <v>photochemical oxidant formation: human health</v>
      </c>
      <c r="E105" t="str">
        <f>Parameters!AL13</f>
        <v>kg NMVOC eq / tkm (of HDV in Austria)</v>
      </c>
      <c r="F105">
        <f>Parameters!AK13</f>
        <v>5.8941592592101946E-6</v>
      </c>
    </row>
    <row r="106" spans="2:6" x14ac:dyDescent="0.2">
      <c r="B106" s="38"/>
      <c r="C106" s="38"/>
      <c r="D106" t="str">
        <f>Parameters!AJ14</f>
        <v>human toxicity: carcinogenic</v>
      </c>
      <c r="E106" t="str">
        <f>Parameters!AL14</f>
        <v>CTUh / tkm (of HDV in Austria)</v>
      </c>
      <c r="F106">
        <f>Parameters!AK14</f>
        <v>1.3931649158133187E-11</v>
      </c>
    </row>
    <row r="107" spans="2:6" x14ac:dyDescent="0.2">
      <c r="B107" s="38"/>
      <c r="C107" s="38"/>
      <c r="D107" t="str">
        <f>Parameters!AJ15</f>
        <v>human toxicity: non-carcinogenic</v>
      </c>
      <c r="E107" t="str">
        <f>Parameters!AL15</f>
        <v>CTUh / tkm (of HDV in Austria)</v>
      </c>
      <c r="F107">
        <f>Parameters!AK15</f>
        <v>5.9376051505557249E-11</v>
      </c>
    </row>
    <row r="108" spans="2:6" x14ac:dyDescent="0.2">
      <c r="B108" s="38"/>
      <c r="C108" s="38"/>
      <c r="D108" t="str">
        <f>Parameters!AJ16</f>
        <v>ecotoxicity: freshwater</v>
      </c>
      <c r="E108" t="str">
        <f>Parameters!AL16</f>
        <v>CTUe / tkm (of HDV in Austria)</v>
      </c>
      <c r="F108">
        <f>Parameters!AK16</f>
        <v>1.8971372554214632E-3</v>
      </c>
    </row>
    <row r="109" spans="2:6" x14ac:dyDescent="0.2">
      <c r="B109" s="38"/>
      <c r="C109" s="38"/>
      <c r="D109" t="str">
        <f>Parameters!AJ17</f>
        <v>ionising radiation</v>
      </c>
      <c r="E109" t="str">
        <f>Parameters!AL17</f>
        <v>kBq U235 eq / tkm (of HDV in Austria)</v>
      </c>
      <c r="F109">
        <f>Parameters!AK17</f>
        <v>7.6319949130313827E-3</v>
      </c>
    </row>
    <row r="110" spans="2:6" x14ac:dyDescent="0.2">
      <c r="B110" s="38"/>
      <c r="C110" s="38"/>
      <c r="D110" t="str">
        <f>Parameters!AJ18</f>
        <v>energy resources depletion: non-renewable</v>
      </c>
      <c r="E110" t="str">
        <f>Parameters!AL18</f>
        <v>MJ / tkm (of HDV in Austria)</v>
      </c>
      <c r="F110">
        <f>Parameters!AK18</f>
        <v>3.4756713076423756E-4</v>
      </c>
    </row>
    <row r="111" spans="2:6" x14ac:dyDescent="0.2">
      <c r="B111" s="38"/>
      <c r="C111" s="38"/>
      <c r="D111" t="str">
        <f>Parameters!AJ19</f>
        <v>material resources: metals/minerals</v>
      </c>
      <c r="E111" t="str">
        <f>Parameters!AL19</f>
        <v>kg Sb eq / tkm (of HDV in Austria)</v>
      </c>
      <c r="F111">
        <f>Parameters!AK19</f>
        <v>3.1715500682236677E-9</v>
      </c>
    </row>
    <row r="112" spans="2:6" x14ac:dyDescent="0.2">
      <c r="B112" s="38"/>
      <c r="C112" s="38"/>
      <c r="D112" t="str">
        <f>Parameters!AJ20</f>
        <v>Total Environmental Impact (distance-to-target)</v>
      </c>
    </row>
    <row r="113" spans="2:3" x14ac:dyDescent="0.2">
      <c r="B113" s="38"/>
      <c r="C113" s="38"/>
    </row>
    <row r="114" spans="2:3" x14ac:dyDescent="0.2">
      <c r="B114" s="43"/>
      <c r="C114" s="43"/>
    </row>
  </sheetData>
  <dataConsolidate/>
  <mergeCells count="7">
    <mergeCell ref="C55:C95"/>
    <mergeCell ref="B14:B95"/>
    <mergeCell ref="B5:C13"/>
    <mergeCell ref="C19:C54"/>
    <mergeCell ref="B96:C97"/>
    <mergeCell ref="C14:C18"/>
    <mergeCell ref="B98:C113"/>
  </mergeCells>
  <pageMargins left="0.7" right="0.7" top="0.78740157499999996" bottom="0.78740157499999996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32E33-377E-6E4F-81E4-C78DF3ABD58D}">
  <dimension ref="B2:O24"/>
  <sheetViews>
    <sheetView tabSelected="1" workbookViewId="0">
      <selection activeCell="C16" sqref="C16"/>
    </sheetView>
  </sheetViews>
  <sheetFormatPr baseColWidth="10" defaultRowHeight="16" x14ac:dyDescent="0.2"/>
  <cols>
    <col min="2" max="2" width="30.5" customWidth="1"/>
    <col min="3" max="3" width="12.1640625" bestFit="1" customWidth="1"/>
    <col min="5" max="5" width="27.33203125" customWidth="1"/>
    <col min="6" max="6" width="11.1640625" bestFit="1" customWidth="1"/>
    <col min="8" max="8" width="32.83203125" customWidth="1"/>
    <col min="9" max="9" width="12.1640625" bestFit="1" customWidth="1"/>
    <col min="11" max="11" width="33.33203125" customWidth="1"/>
    <col min="12" max="12" width="12.1640625" bestFit="1" customWidth="1"/>
    <col min="14" max="14" width="32.5" customWidth="1"/>
    <col min="15" max="15" width="12.1640625" bestFit="1" customWidth="1"/>
  </cols>
  <sheetData>
    <row r="2" spans="2:15" x14ac:dyDescent="0.2">
      <c r="B2" t="s">
        <v>416</v>
      </c>
      <c r="C2" t="s">
        <v>417</v>
      </c>
      <c r="D2" t="s">
        <v>418</v>
      </c>
      <c r="E2" t="s">
        <v>419</v>
      </c>
      <c r="F2" t="s">
        <v>420</v>
      </c>
      <c r="G2" t="s">
        <v>418</v>
      </c>
      <c r="H2" t="s">
        <v>421</v>
      </c>
      <c r="I2" t="s">
        <v>418</v>
      </c>
      <c r="J2" t="s">
        <v>422</v>
      </c>
      <c r="K2" t="s">
        <v>418</v>
      </c>
      <c r="L2" t="s">
        <v>423</v>
      </c>
      <c r="M2" t="s">
        <v>418</v>
      </c>
      <c r="N2" t="s">
        <v>462</v>
      </c>
      <c r="O2" t="s">
        <v>418</v>
      </c>
    </row>
    <row r="3" spans="2:15" x14ac:dyDescent="0.2">
      <c r="B3" t="s">
        <v>469</v>
      </c>
      <c r="C3" t="s">
        <v>424</v>
      </c>
      <c r="D3" t="s">
        <v>429</v>
      </c>
      <c r="E3" t="s">
        <v>439</v>
      </c>
      <c r="F3" s="40">
        <v>6800000000000</v>
      </c>
      <c r="G3" t="str">
        <f>_xlfn.CONCAT(D3," / globally")</f>
        <v>kg CO2 eq / globally</v>
      </c>
      <c r="H3" s="41">
        <f>F3/C$21</f>
        <v>827.25060827250604</v>
      </c>
      <c r="I3" t="str">
        <f>_xlfn.CONCAT(D3, " / per capita")</f>
        <v>kg CO2 eq / per capita</v>
      </c>
      <c r="J3" s="40">
        <f>H3*C$22</f>
        <v>7536253041.3625298</v>
      </c>
      <c r="K3" t="str">
        <f>_xlfn.CONCAT(D3, " / Austria")</f>
        <v>kg CO2 eq / Austria</v>
      </c>
      <c r="L3" s="40">
        <f>J3*C$23</f>
        <v>5426102189.7810211</v>
      </c>
      <c r="M3" t="str">
        <f>_xlfn.CONCAT(D3, " / HDV in Austria")</f>
        <v>kg CO2 eq / HDV in Austria</v>
      </c>
      <c r="N3" s="40">
        <f>L3/C$24</f>
        <v>9.8477353716533954E-5</v>
      </c>
      <c r="O3" t="str">
        <f>_xlfn.CONCAT(D3, " / tkm (of HDV in Austria)")</f>
        <v>kg CO2 eq / tkm (of HDV in Austria)</v>
      </c>
    </row>
    <row r="4" spans="2:15" x14ac:dyDescent="0.2">
      <c r="B4" t="s">
        <v>480</v>
      </c>
      <c r="C4" t="s">
        <v>489</v>
      </c>
      <c r="D4" t="s">
        <v>373</v>
      </c>
      <c r="E4" t="s">
        <v>440</v>
      </c>
      <c r="F4" s="40">
        <v>593000000</v>
      </c>
      <c r="G4" t="str">
        <f t="shared" ref="G4:G16" si="0">_xlfn.CONCAT(D4," / globally")</f>
        <v>kg CFC11 eq / globally</v>
      </c>
      <c r="H4" s="41">
        <f>F4/C$21</f>
        <v>7.2141119221411198E-2</v>
      </c>
      <c r="I4" t="str">
        <f t="shared" ref="I4:I16" si="1">_xlfn.CONCAT(D4, " / per capita")</f>
        <v>kg CFC11 eq / per capita</v>
      </c>
      <c r="J4" s="40">
        <f>H4*C$22</f>
        <v>657205.59610705602</v>
      </c>
      <c r="K4" t="str">
        <f t="shared" ref="K4:K16" si="2">_xlfn.CONCAT(D4, " / Austria")</f>
        <v>kg CFC11 eq / Austria</v>
      </c>
      <c r="L4" s="40">
        <f>J4*C$23</f>
        <v>473188.02919708029</v>
      </c>
      <c r="M4" t="str">
        <f t="shared" ref="M4:M16" si="3">_xlfn.CONCAT(D4, " / HDV in Austria")</f>
        <v>kg CFC11 eq / HDV in Austria</v>
      </c>
      <c r="N4" s="40">
        <f>L4/C$24</f>
        <v>8.5878045226330358E-9</v>
      </c>
      <c r="O4" t="str">
        <f t="shared" ref="O4:O16" si="4">_xlfn.CONCAT(D4, " / tkm (of HDV in Austria)")</f>
        <v>kg CFC11 eq / tkm (of HDV in Austria)</v>
      </c>
    </row>
    <row r="5" spans="2:15" x14ac:dyDescent="0.2">
      <c r="B5" t="s">
        <v>474</v>
      </c>
      <c r="C5" t="s">
        <v>425</v>
      </c>
      <c r="D5" t="s">
        <v>457</v>
      </c>
      <c r="E5" t="s">
        <v>441</v>
      </c>
      <c r="F5" s="40">
        <v>201000000000</v>
      </c>
      <c r="G5" t="str">
        <f t="shared" si="0"/>
        <v>kg N eq / globally</v>
      </c>
      <c r="H5" s="41">
        <f>F5/C$21</f>
        <v>24.452554744525546</v>
      </c>
      <c r="I5" t="str">
        <f t="shared" si="1"/>
        <v>kg N eq / per capita</v>
      </c>
      <c r="J5" s="40">
        <f>H5*C$22</f>
        <v>222762773.72262773</v>
      </c>
      <c r="K5" t="str">
        <f t="shared" si="2"/>
        <v>kg N eq / Austria</v>
      </c>
      <c r="L5" s="40">
        <f>J5*C$23</f>
        <v>160389197.08029196</v>
      </c>
      <c r="M5" t="str">
        <f t="shared" si="3"/>
        <v>kg N eq / HDV in Austria</v>
      </c>
      <c r="N5" s="40">
        <f>L5/C$24</f>
        <v>2.9108747201504891E-6</v>
      </c>
      <c r="O5" t="str">
        <f t="shared" si="4"/>
        <v>kg N eq / tkm (of HDV in Austria)</v>
      </c>
    </row>
    <row r="6" spans="2:15" x14ac:dyDescent="0.2">
      <c r="B6" t="s">
        <v>473</v>
      </c>
      <c r="C6" t="s">
        <v>426</v>
      </c>
      <c r="D6" t="s">
        <v>430</v>
      </c>
      <c r="E6" t="s">
        <v>442</v>
      </c>
      <c r="F6" s="40">
        <v>5810000000</v>
      </c>
      <c r="G6" t="str">
        <f t="shared" si="0"/>
        <v>kg P eq / globally</v>
      </c>
      <c r="H6" s="41">
        <f>F6/C$21</f>
        <v>0.70681265206812649</v>
      </c>
      <c r="I6" t="str">
        <f t="shared" si="1"/>
        <v>kg P eq / per capita</v>
      </c>
      <c r="J6" s="40">
        <f>H6*C$22</f>
        <v>6439063.2603406319</v>
      </c>
      <c r="K6" t="str">
        <f t="shared" si="2"/>
        <v>kg P eq / Austria</v>
      </c>
      <c r="L6" s="40">
        <f>J6*C$23</f>
        <v>4636125.5474452544</v>
      </c>
      <c r="M6" t="str">
        <f t="shared" si="3"/>
        <v>kg P eq / HDV in Austria</v>
      </c>
      <c r="N6" s="40">
        <f>L6/C$24</f>
        <v>8.414020957250916E-8</v>
      </c>
      <c r="O6" t="str">
        <f t="shared" si="4"/>
        <v>kg P eq / tkm (of HDV in Austria)</v>
      </c>
    </row>
    <row r="7" spans="2:15" x14ac:dyDescent="0.2">
      <c r="B7" t="s">
        <v>470</v>
      </c>
      <c r="C7" t="s">
        <v>485</v>
      </c>
      <c r="D7" t="s">
        <v>431</v>
      </c>
      <c r="E7" t="s">
        <v>443</v>
      </c>
      <c r="F7" s="40">
        <v>1000000000000</v>
      </c>
      <c r="G7" t="str">
        <f t="shared" si="0"/>
        <v>mol H+ eq / globally</v>
      </c>
      <c r="H7" s="41">
        <f>F7/C$21</f>
        <v>121.65450121654501</v>
      </c>
      <c r="I7" t="str">
        <f t="shared" si="1"/>
        <v>mol H+ eq / per capita</v>
      </c>
      <c r="J7" s="40">
        <f>H7*C$22</f>
        <v>1108272506.082725</v>
      </c>
      <c r="K7" t="str">
        <f t="shared" si="2"/>
        <v>mol H+ eq / Austria</v>
      </c>
      <c r="L7" s="40">
        <f>J7*C$23</f>
        <v>797956204.37956202</v>
      </c>
      <c r="M7" t="str">
        <f t="shared" si="3"/>
        <v>mol H+ eq / HDV in Austria</v>
      </c>
      <c r="N7" s="40">
        <f>L7/C$24</f>
        <v>1.4481963781843232E-5</v>
      </c>
      <c r="O7" t="str">
        <f t="shared" si="4"/>
        <v>mol H+ eq / tkm (of HDV in Austria)</v>
      </c>
    </row>
    <row r="8" spans="2:15" x14ac:dyDescent="0.2">
      <c r="B8" t="s">
        <v>478</v>
      </c>
      <c r="C8" t="s">
        <v>227</v>
      </c>
      <c r="D8" t="s">
        <v>432</v>
      </c>
      <c r="E8" t="s">
        <v>444</v>
      </c>
      <c r="F8" s="40">
        <v>1270000000000</v>
      </c>
      <c r="G8" t="str">
        <f t="shared" si="0"/>
        <v>kg soil loss / globally</v>
      </c>
      <c r="H8" s="41">
        <f>F8/C$21</f>
        <v>154.50121654501217</v>
      </c>
      <c r="I8" t="str">
        <f t="shared" si="1"/>
        <v>kg soil loss / per capita</v>
      </c>
      <c r="J8" s="40">
        <f>H8*C$22</f>
        <v>1407506082.7250609</v>
      </c>
      <c r="K8" t="str">
        <f t="shared" si="2"/>
        <v>kg soil loss / Austria</v>
      </c>
      <c r="L8" s="40">
        <f>J8*C$23</f>
        <v>1013404379.5620438</v>
      </c>
      <c r="M8" t="str">
        <f t="shared" si="3"/>
        <v>kg soil loss / HDV in Austria</v>
      </c>
      <c r="N8" s="40">
        <f>L8/C$24</f>
        <v>1.8392094002940905E-5</v>
      </c>
      <c r="O8" t="str">
        <f t="shared" si="4"/>
        <v>kg soil loss / tkm (of HDV in Austria)</v>
      </c>
    </row>
    <row r="9" spans="2:15" x14ac:dyDescent="0.2">
      <c r="B9" t="s">
        <v>482</v>
      </c>
      <c r="C9" t="s">
        <v>427</v>
      </c>
      <c r="D9" t="s">
        <v>433</v>
      </c>
      <c r="E9" t="s">
        <v>445</v>
      </c>
      <c r="F9" s="40">
        <v>182000000000000</v>
      </c>
      <c r="G9" t="str">
        <f t="shared" si="0"/>
        <v>m3 world eq / globally</v>
      </c>
      <c r="H9" s="41">
        <f>F9/C$21</f>
        <v>22141.119221411191</v>
      </c>
      <c r="I9" t="str">
        <f t="shared" si="1"/>
        <v>m3 world eq / per capita</v>
      </c>
      <c r="J9" s="40">
        <f>H9*C$22</f>
        <v>201705596107.05594</v>
      </c>
      <c r="K9" t="str">
        <f t="shared" si="2"/>
        <v>m3 world eq / Austria</v>
      </c>
      <c r="L9" s="40">
        <f>J9*C$23</f>
        <v>145228029197.08026</v>
      </c>
      <c r="M9" t="str">
        <f t="shared" si="3"/>
        <v>m3 world eq / HDV in Austria</v>
      </c>
      <c r="N9" s="40">
        <f>L9/C$24</f>
        <v>2.6357174082954674E-3</v>
      </c>
      <c r="O9" t="str">
        <f t="shared" si="4"/>
        <v>m3 world eq / tkm (of HDV in Austria)</v>
      </c>
    </row>
    <row r="10" spans="2:15" x14ac:dyDescent="0.2">
      <c r="B10" t="s">
        <v>481</v>
      </c>
      <c r="C10" t="s">
        <v>428</v>
      </c>
      <c r="D10" t="s">
        <v>434</v>
      </c>
      <c r="E10" t="s">
        <v>446</v>
      </c>
      <c r="F10" s="40">
        <v>407000000000</v>
      </c>
      <c r="G10" t="str">
        <f t="shared" si="0"/>
        <v>kg NMVOC eq / globally</v>
      </c>
      <c r="H10" s="41">
        <f>F10/C$21</f>
        <v>49.51338199513382</v>
      </c>
      <c r="I10" t="str">
        <f t="shared" si="1"/>
        <v>kg NMVOC eq / per capita</v>
      </c>
      <c r="J10" s="40">
        <f>H10*C$22</f>
        <v>451066909.97566909</v>
      </c>
      <c r="K10" t="str">
        <f t="shared" si="2"/>
        <v>kg NMVOC eq / Austria</v>
      </c>
      <c r="L10" s="40">
        <f>J10*C$23</f>
        <v>324768175.18248171</v>
      </c>
      <c r="M10" t="str">
        <f t="shared" si="3"/>
        <v>kg NMVOC eq / HDV in Austria</v>
      </c>
      <c r="N10" s="40">
        <f>L10/C$24</f>
        <v>5.8941592592101946E-6</v>
      </c>
      <c r="O10" t="str">
        <f t="shared" si="4"/>
        <v>kg NMVOC eq / tkm (of HDV in Austria)</v>
      </c>
    </row>
    <row r="11" spans="2:15" x14ac:dyDescent="0.2">
      <c r="B11" t="s">
        <v>475</v>
      </c>
      <c r="C11" t="s">
        <v>483</v>
      </c>
      <c r="D11" t="s">
        <v>435</v>
      </c>
      <c r="E11" t="s">
        <v>447</v>
      </c>
      <c r="F11" s="40">
        <v>962000</v>
      </c>
      <c r="G11" t="str">
        <f t="shared" si="0"/>
        <v>CTUh / globally</v>
      </c>
      <c r="H11" s="41">
        <f>F11/C$21</f>
        <v>1.170316301703163E-4</v>
      </c>
      <c r="I11" t="str">
        <f t="shared" si="1"/>
        <v>CTUh / per capita</v>
      </c>
      <c r="J11" s="40">
        <f>H11*C$22</f>
        <v>1066.1581508515815</v>
      </c>
      <c r="K11" t="str">
        <f t="shared" si="2"/>
        <v>CTUh / Austria</v>
      </c>
      <c r="L11" s="40">
        <f>J11*C$23</f>
        <v>767.63386861313859</v>
      </c>
      <c r="M11" t="str">
        <f t="shared" si="3"/>
        <v>CTUh / HDV in Austria</v>
      </c>
      <c r="N11" s="40">
        <f>L11/C$24</f>
        <v>1.3931649158133187E-11</v>
      </c>
      <c r="O11" t="str">
        <f t="shared" si="4"/>
        <v>CTUh / tkm (of HDV in Austria)</v>
      </c>
    </row>
    <row r="12" spans="2:15" x14ac:dyDescent="0.2">
      <c r="B12" t="s">
        <v>476</v>
      </c>
      <c r="C12" t="s">
        <v>484</v>
      </c>
      <c r="D12" t="s">
        <v>435</v>
      </c>
      <c r="E12" t="s">
        <v>447</v>
      </c>
      <c r="F12" s="40">
        <v>4100000</v>
      </c>
      <c r="G12" t="str">
        <f t="shared" si="0"/>
        <v>CTUh / globally</v>
      </c>
      <c r="H12" s="41">
        <f>F12/C$21</f>
        <v>4.9878345498783456E-4</v>
      </c>
      <c r="I12" t="str">
        <f t="shared" si="1"/>
        <v>CTUh / per capita</v>
      </c>
      <c r="J12" s="40">
        <f>H12*C$22</f>
        <v>4543.9172749391728</v>
      </c>
      <c r="K12" t="str">
        <f t="shared" si="2"/>
        <v>CTUh / Austria</v>
      </c>
      <c r="L12" s="40">
        <f>J12*C$23</f>
        <v>3271.6204379562041</v>
      </c>
      <c r="M12" t="str">
        <f t="shared" si="3"/>
        <v>CTUh / HDV in Austria</v>
      </c>
      <c r="N12" s="40">
        <f>L12/C$24</f>
        <v>5.9376051505557249E-11</v>
      </c>
      <c r="O12" t="str">
        <f t="shared" si="4"/>
        <v>CTUh / tkm (of HDV in Austria)</v>
      </c>
    </row>
    <row r="13" spans="2:15" x14ac:dyDescent="0.2">
      <c r="B13" t="s">
        <v>471</v>
      </c>
      <c r="C13" t="s">
        <v>486</v>
      </c>
      <c r="D13" t="s">
        <v>436</v>
      </c>
      <c r="E13" t="s">
        <v>448</v>
      </c>
      <c r="F13" s="40">
        <v>131000000000000</v>
      </c>
      <c r="G13" t="str">
        <f t="shared" si="0"/>
        <v>CTUe / globally</v>
      </c>
      <c r="H13" s="41">
        <f>F13/C$21</f>
        <v>15936.739659367397</v>
      </c>
      <c r="I13" t="str">
        <f t="shared" si="1"/>
        <v>CTUe / per capita</v>
      </c>
      <c r="J13" s="40">
        <f>H13*C$22</f>
        <v>145183698296.83698</v>
      </c>
      <c r="K13" t="str">
        <f t="shared" si="2"/>
        <v>CTUe / Austria</v>
      </c>
      <c r="L13" s="40">
        <f>J13*C$23</f>
        <v>104532262773.72263</v>
      </c>
      <c r="M13" t="str">
        <f t="shared" si="3"/>
        <v>CTUe / HDV in Austria</v>
      </c>
      <c r="N13" s="40">
        <f>L13/C$24</f>
        <v>1.8971372554214632E-3</v>
      </c>
      <c r="O13" t="str">
        <f t="shared" si="4"/>
        <v>CTUe / tkm (of HDV in Austria)</v>
      </c>
    </row>
    <row r="14" spans="2:15" x14ac:dyDescent="0.2">
      <c r="B14" t="s">
        <v>477</v>
      </c>
      <c r="C14" t="s">
        <v>223</v>
      </c>
      <c r="D14" t="s">
        <v>437</v>
      </c>
      <c r="E14" t="s">
        <v>449</v>
      </c>
      <c r="F14" s="40">
        <v>527000000000000</v>
      </c>
      <c r="G14" t="str">
        <f t="shared" si="0"/>
        <v>kBq U235 eq / globally</v>
      </c>
      <c r="H14" s="41">
        <f>F14/C$21</f>
        <v>64111.922141119219</v>
      </c>
      <c r="I14" t="str">
        <f t="shared" si="1"/>
        <v>kBq U235 eq / per capita</v>
      </c>
      <c r="J14" s="40">
        <f>H14*C$22</f>
        <v>584059610705.59607</v>
      </c>
      <c r="K14" t="str">
        <f t="shared" si="2"/>
        <v>kBq U235 eq / Austria</v>
      </c>
      <c r="L14" s="40">
        <f>J14*C$23</f>
        <v>420522919708.02917</v>
      </c>
      <c r="M14" t="str">
        <f t="shared" si="3"/>
        <v>kBq U235 eq / HDV in Austria</v>
      </c>
      <c r="N14" s="40">
        <f>L14/C$24</f>
        <v>7.6319949130313827E-3</v>
      </c>
      <c r="O14" t="str">
        <f t="shared" si="4"/>
        <v>kBq U235 eq / tkm (of HDV in Austria)</v>
      </c>
    </row>
    <row r="15" spans="2:15" x14ac:dyDescent="0.2">
      <c r="B15" t="s">
        <v>472</v>
      </c>
      <c r="C15" t="s">
        <v>488</v>
      </c>
      <c r="D15" t="s">
        <v>438</v>
      </c>
      <c r="E15" t="s">
        <v>450</v>
      </c>
      <c r="F15" s="40">
        <v>24000000000000</v>
      </c>
      <c r="G15" t="str">
        <f t="shared" si="0"/>
        <v>MJ / globally</v>
      </c>
      <c r="H15" s="41">
        <f>F15/C$21</f>
        <v>2919.7080291970801</v>
      </c>
      <c r="I15" t="str">
        <f t="shared" si="1"/>
        <v>MJ / per capita</v>
      </c>
      <c r="J15" s="40">
        <f>H15*C$22</f>
        <v>26598540145.985401</v>
      </c>
      <c r="K15" t="str">
        <f t="shared" si="2"/>
        <v>MJ / Austria</v>
      </c>
      <c r="L15" s="40">
        <f>J15*C$23</f>
        <v>19150948905.109489</v>
      </c>
      <c r="M15" t="str">
        <f t="shared" si="3"/>
        <v>MJ / HDV in Austria</v>
      </c>
      <c r="N15" s="40">
        <f>L15/C$24</f>
        <v>3.4756713076423756E-4</v>
      </c>
      <c r="O15" t="str">
        <f t="shared" si="4"/>
        <v>MJ / tkm (of HDV in Austria)</v>
      </c>
    </row>
    <row r="16" spans="2:15" x14ac:dyDescent="0.2">
      <c r="B16" t="s">
        <v>479</v>
      </c>
      <c r="C16" t="s">
        <v>487</v>
      </c>
      <c r="D16" t="s">
        <v>415</v>
      </c>
      <c r="E16" t="s">
        <v>451</v>
      </c>
      <c r="F16" s="40">
        <v>219000000</v>
      </c>
      <c r="G16" t="str">
        <f t="shared" si="0"/>
        <v>kg Sb eq / globally</v>
      </c>
      <c r="H16" s="41">
        <f>F16/C$21</f>
        <v>2.6642335766423358E-2</v>
      </c>
      <c r="I16" t="str">
        <f t="shared" si="1"/>
        <v>kg Sb eq / per capita</v>
      </c>
      <c r="J16" s="40">
        <f>H16*C$22</f>
        <v>242711.6788321168</v>
      </c>
      <c r="K16" t="str">
        <f t="shared" si="2"/>
        <v>kg Sb eq / Austria</v>
      </c>
      <c r="L16" s="40">
        <f>J16*C$23</f>
        <v>174752.40875912408</v>
      </c>
      <c r="M16" t="str">
        <f t="shared" si="3"/>
        <v>kg Sb eq / HDV in Austria</v>
      </c>
      <c r="N16" s="40">
        <f>L16/C$24</f>
        <v>3.1715500682236677E-9</v>
      </c>
      <c r="O16" t="str">
        <f t="shared" si="4"/>
        <v>kg Sb eq / tkm (of HDV in Austria)</v>
      </c>
    </row>
    <row r="19" spans="2:5" x14ac:dyDescent="0.2">
      <c r="C19" t="s">
        <v>458</v>
      </c>
      <c r="D19" t="s">
        <v>418</v>
      </c>
      <c r="E19" t="s">
        <v>459</v>
      </c>
    </row>
    <row r="20" spans="2:5" x14ac:dyDescent="0.2">
      <c r="B20" t="s">
        <v>452</v>
      </c>
      <c r="C20" s="40" t="s">
        <v>404</v>
      </c>
      <c r="D20" t="s">
        <v>404</v>
      </c>
      <c r="E20" s="42" t="s">
        <v>468</v>
      </c>
    </row>
    <row r="21" spans="2:5" x14ac:dyDescent="0.2">
      <c r="B21" t="s">
        <v>453</v>
      </c>
      <c r="C21" s="40">
        <v>8220000000</v>
      </c>
      <c r="D21" t="s">
        <v>460</v>
      </c>
      <c r="E21" t="s">
        <v>466</v>
      </c>
    </row>
    <row r="22" spans="2:5" x14ac:dyDescent="0.2">
      <c r="B22" t="s">
        <v>454</v>
      </c>
      <c r="C22" s="40">
        <v>9110000</v>
      </c>
      <c r="D22" t="s">
        <v>461</v>
      </c>
      <c r="E22" t="s">
        <v>466</v>
      </c>
    </row>
    <row r="23" spans="2:5" x14ac:dyDescent="0.2">
      <c r="B23" t="s">
        <v>455</v>
      </c>
      <c r="C23">
        <v>0.72</v>
      </c>
      <c r="D23" t="s">
        <v>463</v>
      </c>
      <c r="E23" t="s">
        <v>464</v>
      </c>
    </row>
    <row r="24" spans="2:5" x14ac:dyDescent="0.2">
      <c r="B24" t="s">
        <v>456</v>
      </c>
      <c r="C24" s="40">
        <v>55100000000000</v>
      </c>
      <c r="D24" t="s">
        <v>465</v>
      </c>
      <c r="E24" t="s">
        <v>467</v>
      </c>
    </row>
  </sheetData>
  <hyperlinks>
    <hyperlink ref="E21" r:id="rId1" display="https://www.worldometers.info/world-population/ (accessed: 10th April 2025)" xr:uid="{C059282A-FE11-5B4F-A5A3-32BEDAF6D72C}"/>
    <hyperlink ref="E22" r:id="rId2" display="https://www.worldometers.info/world-population/ (accessed: 10th April 2025)" xr:uid="{3EAF6B8D-99AF-CA4E-B40A-4C690CC9890B}"/>
  </hyperlinks>
  <pageMargins left="0.7" right="0.7" top="0.78740157499999996" bottom="0.78740157499999996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6A39-D267-3C42-9C28-253FEA079C5B}">
  <dimension ref="B2:AO124"/>
  <sheetViews>
    <sheetView topLeftCell="AG1" zoomScale="125" workbookViewId="0">
      <selection activeCell="AI23" sqref="AI23"/>
    </sheetView>
  </sheetViews>
  <sheetFormatPr baseColWidth="10" defaultRowHeight="16" x14ac:dyDescent="0.2"/>
  <cols>
    <col min="2" max="2" width="18.5" customWidth="1"/>
    <col min="12" max="13" width="11.1640625" customWidth="1"/>
    <col min="14" max="14" width="10" customWidth="1"/>
    <col min="37" max="37" width="12.6640625" bestFit="1" customWidth="1"/>
  </cols>
  <sheetData>
    <row r="2" spans="2:39" ht="19" x14ac:dyDescent="0.25">
      <c r="B2" s="6" t="s">
        <v>2</v>
      </c>
    </row>
    <row r="3" spans="2:39" x14ac:dyDescent="0.2">
      <c r="B3" s="39" t="s">
        <v>3</v>
      </c>
      <c r="C3" s="39"/>
      <c r="D3" s="39"/>
      <c r="E3" s="39"/>
      <c r="F3" s="39"/>
      <c r="G3" s="39"/>
      <c r="H3" s="39"/>
      <c r="I3" s="39"/>
      <c r="J3" s="39"/>
      <c r="O3" s="39" t="s">
        <v>45</v>
      </c>
      <c r="P3" s="39"/>
      <c r="Q3" s="39"/>
      <c r="R3" s="39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spans="2:39" x14ac:dyDescent="0.2">
      <c r="B4" t="s">
        <v>0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1</v>
      </c>
      <c r="I4" t="s">
        <v>10</v>
      </c>
      <c r="J4" t="s">
        <v>9</v>
      </c>
      <c r="K4" s="39" t="s">
        <v>24</v>
      </c>
      <c r="L4" s="39"/>
      <c r="M4" s="39"/>
      <c r="O4" t="s">
        <v>60</v>
      </c>
      <c r="P4" t="s">
        <v>59</v>
      </c>
      <c r="Q4" t="s">
        <v>61</v>
      </c>
      <c r="R4" t="s">
        <v>57</v>
      </c>
      <c r="S4" t="s">
        <v>121</v>
      </c>
      <c r="T4" t="s">
        <v>85</v>
      </c>
      <c r="U4" t="s">
        <v>89</v>
      </c>
      <c r="V4" t="s">
        <v>108</v>
      </c>
      <c r="W4" t="s">
        <v>87</v>
      </c>
      <c r="Y4" t="s">
        <v>102</v>
      </c>
      <c r="Z4" t="s">
        <v>103</v>
      </c>
      <c r="AA4" t="s">
        <v>97</v>
      </c>
      <c r="AB4" t="s">
        <v>98</v>
      </c>
      <c r="AC4" t="s">
        <v>104</v>
      </c>
      <c r="AD4" t="s">
        <v>105</v>
      </c>
      <c r="AE4" t="s">
        <v>112</v>
      </c>
      <c r="AF4" t="s">
        <v>99</v>
      </c>
      <c r="AG4" t="s">
        <v>113</v>
      </c>
      <c r="AH4" t="s">
        <v>100</v>
      </c>
      <c r="AJ4" t="s">
        <v>363</v>
      </c>
      <c r="AK4" t="s">
        <v>364</v>
      </c>
      <c r="AM4" t="s">
        <v>370</v>
      </c>
    </row>
    <row r="5" spans="2:39" x14ac:dyDescent="0.2">
      <c r="B5" t="s">
        <v>47</v>
      </c>
      <c r="C5" t="s">
        <v>48</v>
      </c>
      <c r="D5" t="s">
        <v>49</v>
      </c>
      <c r="E5" t="s">
        <v>50</v>
      </c>
      <c r="F5" t="s">
        <v>47</v>
      </c>
      <c r="G5" t="s">
        <v>50</v>
      </c>
      <c r="H5" t="s">
        <v>51</v>
      </c>
      <c r="I5" t="s">
        <v>52</v>
      </c>
      <c r="J5" t="s">
        <v>52</v>
      </c>
      <c r="K5" s="39" t="s">
        <v>47</v>
      </c>
      <c r="L5" s="39"/>
      <c r="M5" s="39"/>
      <c r="O5" t="s">
        <v>53</v>
      </c>
      <c r="P5" t="s">
        <v>54</v>
      </c>
      <c r="Q5" t="s">
        <v>80</v>
      </c>
      <c r="R5" t="s">
        <v>58</v>
      </c>
      <c r="S5" t="s">
        <v>122</v>
      </c>
      <c r="T5" t="s">
        <v>53</v>
      </c>
      <c r="U5" t="s">
        <v>47</v>
      </c>
      <c r="V5" t="s">
        <v>110</v>
      </c>
      <c r="W5" t="s">
        <v>47</v>
      </c>
      <c r="X5" t="s">
        <v>94</v>
      </c>
      <c r="Y5" t="s">
        <v>96</v>
      </c>
      <c r="Z5" t="s">
        <v>96</v>
      </c>
      <c r="AA5" t="s">
        <v>96</v>
      </c>
      <c r="AB5" t="s">
        <v>96</v>
      </c>
      <c r="AC5" t="s">
        <v>96</v>
      </c>
      <c r="AD5" t="s">
        <v>47</v>
      </c>
      <c r="AE5" t="s">
        <v>47</v>
      </c>
      <c r="AF5" t="s">
        <v>101</v>
      </c>
      <c r="AG5" t="s">
        <v>47</v>
      </c>
      <c r="AH5" t="s">
        <v>101</v>
      </c>
      <c r="AJ5" t="s">
        <v>47</v>
      </c>
      <c r="AM5" t="s">
        <v>47</v>
      </c>
    </row>
    <row r="6" spans="2:39" x14ac:dyDescent="0.2">
      <c r="B6" t="s">
        <v>11</v>
      </c>
      <c r="C6" t="s">
        <v>14</v>
      </c>
      <c r="D6">
        <v>2020</v>
      </c>
      <c r="E6">
        <v>100000</v>
      </c>
      <c r="F6" t="s">
        <v>21</v>
      </c>
      <c r="G6">
        <v>50</v>
      </c>
      <c r="H6">
        <v>1000</v>
      </c>
      <c r="K6" t="s">
        <v>25</v>
      </c>
      <c r="L6" t="s">
        <v>155</v>
      </c>
      <c r="M6" t="s">
        <v>157</v>
      </c>
      <c r="O6">
        <v>200</v>
      </c>
      <c r="P6">
        <v>60</v>
      </c>
      <c r="Q6">
        <v>100</v>
      </c>
      <c r="R6">
        <v>1</v>
      </c>
      <c r="S6">
        <v>100000</v>
      </c>
      <c r="T6">
        <v>50</v>
      </c>
      <c r="U6" t="s">
        <v>106</v>
      </c>
      <c r="V6">
        <v>0.5</v>
      </c>
      <c r="W6" t="s">
        <v>93</v>
      </c>
      <c r="X6">
        <v>1</v>
      </c>
      <c r="Y6">
        <v>1</v>
      </c>
      <c r="Z6">
        <v>1</v>
      </c>
      <c r="AA6">
        <v>0</v>
      </c>
      <c r="AB6">
        <v>0</v>
      </c>
      <c r="AC6">
        <v>0</v>
      </c>
      <c r="AD6" t="s">
        <v>90</v>
      </c>
      <c r="AE6" t="s">
        <v>308</v>
      </c>
      <c r="AF6">
        <v>0</v>
      </c>
      <c r="AG6" t="s">
        <v>78</v>
      </c>
      <c r="AH6">
        <v>0</v>
      </c>
      <c r="AJ6" t="str">
        <f>'Absolute Thresholds'!B3</f>
        <v>climate change</v>
      </c>
      <c r="AK6" s="17">
        <f>'Absolute Thresholds'!N3</f>
        <v>9.8477353716533954E-5</v>
      </c>
      <c r="AL6" t="str">
        <f>'Absolute Thresholds'!O3</f>
        <v>kg CO2 eq / tkm (of HDV in Austria)</v>
      </c>
      <c r="AM6" t="s">
        <v>371</v>
      </c>
    </row>
    <row r="7" spans="2:39" x14ac:dyDescent="0.2">
      <c r="B7" t="s">
        <v>13</v>
      </c>
      <c r="C7" t="s">
        <v>15</v>
      </c>
      <c r="D7">
        <v>2050</v>
      </c>
      <c r="E7">
        <v>2000000</v>
      </c>
      <c r="F7" t="s">
        <v>22</v>
      </c>
      <c r="G7">
        <v>800</v>
      </c>
      <c r="H7">
        <v>20000</v>
      </c>
      <c r="K7" t="s">
        <v>26</v>
      </c>
      <c r="L7" t="s">
        <v>156</v>
      </c>
      <c r="M7" t="s">
        <v>158</v>
      </c>
      <c r="O7">
        <v>1000</v>
      </c>
      <c r="P7">
        <v>1000</v>
      </c>
      <c r="Q7">
        <v>600</v>
      </c>
      <c r="R7">
        <v>10</v>
      </c>
      <c r="S7">
        <v>100000000</v>
      </c>
      <c r="T7">
        <v>1000</v>
      </c>
      <c r="U7" t="s">
        <v>90</v>
      </c>
      <c r="V7">
        <v>10</v>
      </c>
      <c r="W7" t="s">
        <v>91</v>
      </c>
      <c r="X7">
        <v>50</v>
      </c>
      <c r="Y7">
        <v>4</v>
      </c>
      <c r="Z7">
        <v>4</v>
      </c>
      <c r="AA7">
        <v>4</v>
      </c>
      <c r="AB7">
        <v>4</v>
      </c>
      <c r="AC7">
        <v>4</v>
      </c>
      <c r="AD7" t="s">
        <v>111</v>
      </c>
      <c r="AE7" t="s">
        <v>307</v>
      </c>
      <c r="AF7">
        <v>1</v>
      </c>
      <c r="AG7" t="s">
        <v>79</v>
      </c>
      <c r="AH7">
        <v>5</v>
      </c>
      <c r="AJ7" t="str">
        <f>'Absolute Thresholds'!B4</f>
        <v>ozone depletion</v>
      </c>
      <c r="AK7" s="17">
        <f>'Absolute Thresholds'!N4</f>
        <v>8.5878045226330358E-9</v>
      </c>
      <c r="AL7" t="str">
        <f>'Absolute Thresholds'!O4</f>
        <v>kg CFC11 eq / tkm (of HDV in Austria)</v>
      </c>
      <c r="AM7" t="s">
        <v>372</v>
      </c>
    </row>
    <row r="8" spans="2:39" x14ac:dyDescent="0.2">
      <c r="B8" t="s">
        <v>12</v>
      </c>
      <c r="C8" t="s">
        <v>16</v>
      </c>
      <c r="F8" t="s">
        <v>23</v>
      </c>
      <c r="K8" t="s">
        <v>27</v>
      </c>
      <c r="L8" t="s">
        <v>207</v>
      </c>
      <c r="M8" t="s">
        <v>159</v>
      </c>
      <c r="U8" t="s">
        <v>111</v>
      </c>
      <c r="W8" t="s">
        <v>92</v>
      </c>
      <c r="AD8" t="s">
        <v>107</v>
      </c>
      <c r="AE8" t="s">
        <v>306</v>
      </c>
      <c r="AJ8" t="str">
        <f>'Absolute Thresholds'!B5</f>
        <v>eutrophication: marine</v>
      </c>
      <c r="AK8" s="17">
        <f>'Absolute Thresholds'!N5</f>
        <v>2.9108747201504891E-6</v>
      </c>
      <c r="AL8" t="str">
        <f>'Absolute Thresholds'!O5</f>
        <v>kg N eq / tkm (of HDV in Austria)</v>
      </c>
    </row>
    <row r="9" spans="2:39" x14ac:dyDescent="0.2">
      <c r="C9" t="s">
        <v>17</v>
      </c>
      <c r="K9" t="s">
        <v>28</v>
      </c>
      <c r="L9" t="s">
        <v>208</v>
      </c>
      <c r="M9" t="s">
        <v>160</v>
      </c>
      <c r="AE9" t="s">
        <v>305</v>
      </c>
      <c r="AJ9" t="str">
        <f>'Absolute Thresholds'!B6</f>
        <v>eutrophication: freshwater</v>
      </c>
      <c r="AK9" s="17">
        <f>'Absolute Thresholds'!N6</f>
        <v>8.414020957250916E-8</v>
      </c>
      <c r="AL9" t="str">
        <f>'Absolute Thresholds'!O6</f>
        <v>kg P eq / tkm (of HDV in Austria)</v>
      </c>
    </row>
    <row r="10" spans="2:39" x14ac:dyDescent="0.2">
      <c r="C10" t="s">
        <v>18</v>
      </c>
      <c r="K10" t="s">
        <v>29</v>
      </c>
      <c r="L10" t="s">
        <v>209</v>
      </c>
      <c r="M10" t="s">
        <v>161</v>
      </c>
      <c r="AE10" t="s">
        <v>309</v>
      </c>
      <c r="AJ10" t="str">
        <f>'Absolute Thresholds'!B7</f>
        <v>acidification: terrestrial</v>
      </c>
      <c r="AK10" s="17">
        <f>'Absolute Thresholds'!N7</f>
        <v>1.4481963781843232E-5</v>
      </c>
      <c r="AL10" t="str">
        <f>'Absolute Thresholds'!O7</f>
        <v>mol H+ eq / tkm (of HDV in Austria)</v>
      </c>
    </row>
    <row r="11" spans="2:39" x14ac:dyDescent="0.2">
      <c r="C11" t="s">
        <v>19</v>
      </c>
      <c r="K11" t="s">
        <v>30</v>
      </c>
      <c r="L11" t="s">
        <v>210</v>
      </c>
      <c r="M11" t="s">
        <v>162</v>
      </c>
      <c r="AE11" t="s">
        <v>310</v>
      </c>
      <c r="AJ11" t="str">
        <f>'Absolute Thresholds'!B8</f>
        <v>land use</v>
      </c>
      <c r="AK11" s="17">
        <f>'Absolute Thresholds'!N8</f>
        <v>1.8392094002940905E-5</v>
      </c>
      <c r="AL11" t="str">
        <f>'Absolute Thresholds'!O8</f>
        <v>kg soil loss / tkm (of HDV in Austria)</v>
      </c>
    </row>
    <row r="12" spans="2:39" x14ac:dyDescent="0.2">
      <c r="C12" t="s">
        <v>20</v>
      </c>
      <c r="K12" t="s">
        <v>95</v>
      </c>
      <c r="L12" t="s">
        <v>229</v>
      </c>
      <c r="M12" t="s">
        <v>205</v>
      </c>
      <c r="AJ12" t="str">
        <f>'Absolute Thresholds'!B9</f>
        <v>water use</v>
      </c>
      <c r="AK12" s="17">
        <f>'Absolute Thresholds'!N9</f>
        <v>2.6357174082954674E-3</v>
      </c>
      <c r="AL12" t="str">
        <f>'Absolute Thresholds'!O9</f>
        <v>m3 world eq / tkm (of HDV in Austria)</v>
      </c>
    </row>
    <row r="13" spans="2:39" x14ac:dyDescent="0.2">
      <c r="K13" t="s">
        <v>31</v>
      </c>
      <c r="L13" t="s">
        <v>211</v>
      </c>
      <c r="M13" t="s">
        <v>163</v>
      </c>
      <c r="AJ13" t="str">
        <f>'Absolute Thresholds'!B10</f>
        <v>photochemical oxidant formation: human health</v>
      </c>
      <c r="AK13" s="17">
        <f>'Absolute Thresholds'!N10</f>
        <v>5.8941592592101946E-6</v>
      </c>
      <c r="AL13" t="str">
        <f>'Absolute Thresholds'!O10</f>
        <v>kg NMVOC eq / tkm (of HDV in Austria)</v>
      </c>
    </row>
    <row r="14" spans="2:39" x14ac:dyDescent="0.2">
      <c r="K14" t="s">
        <v>32</v>
      </c>
      <c r="L14" t="s">
        <v>212</v>
      </c>
      <c r="M14" t="s">
        <v>164</v>
      </c>
      <c r="AJ14" t="str">
        <f>'Absolute Thresholds'!B11</f>
        <v>human toxicity: carcinogenic</v>
      </c>
      <c r="AK14" s="17">
        <f>'Absolute Thresholds'!N11</f>
        <v>1.3931649158133187E-11</v>
      </c>
      <c r="AL14" t="str">
        <f>'Absolute Thresholds'!O11</f>
        <v>CTUh / tkm (of HDV in Austria)</v>
      </c>
    </row>
    <row r="15" spans="2:39" x14ac:dyDescent="0.2">
      <c r="K15" t="s">
        <v>33</v>
      </c>
      <c r="L15" t="s">
        <v>213</v>
      </c>
      <c r="M15" t="s">
        <v>165</v>
      </c>
      <c r="AJ15" t="str">
        <f>'Absolute Thresholds'!B12</f>
        <v>human toxicity: non-carcinogenic</v>
      </c>
      <c r="AK15" s="17">
        <f>'Absolute Thresholds'!N12</f>
        <v>5.9376051505557249E-11</v>
      </c>
      <c r="AL15" t="str">
        <f>'Absolute Thresholds'!O12</f>
        <v>CTUh / tkm (of HDV in Austria)</v>
      </c>
    </row>
    <row r="16" spans="2:39" x14ac:dyDescent="0.2">
      <c r="K16" t="s">
        <v>34</v>
      </c>
      <c r="L16" t="s">
        <v>214</v>
      </c>
      <c r="M16" t="s">
        <v>166</v>
      </c>
      <c r="AJ16" t="str">
        <f>'Absolute Thresholds'!B13</f>
        <v>ecotoxicity: freshwater</v>
      </c>
      <c r="AK16" s="17">
        <f>'Absolute Thresholds'!N13</f>
        <v>1.8971372554214632E-3</v>
      </c>
      <c r="AL16" t="str">
        <f>'Absolute Thresholds'!O13</f>
        <v>CTUe / tkm (of HDV in Austria)</v>
      </c>
    </row>
    <row r="17" spans="2:38" x14ac:dyDescent="0.2">
      <c r="K17" t="s">
        <v>35</v>
      </c>
      <c r="L17" t="s">
        <v>215</v>
      </c>
      <c r="M17" t="s">
        <v>167</v>
      </c>
      <c r="AJ17" t="str">
        <f>'Absolute Thresholds'!B14</f>
        <v>ionising radiation</v>
      </c>
      <c r="AK17" s="17">
        <f>'Absolute Thresholds'!N14</f>
        <v>7.6319949130313827E-3</v>
      </c>
      <c r="AL17" t="str">
        <f>'Absolute Thresholds'!O14</f>
        <v>kBq U235 eq / tkm (of HDV in Austria)</v>
      </c>
    </row>
    <row r="18" spans="2:38" x14ac:dyDescent="0.2">
      <c r="K18" t="s">
        <v>36</v>
      </c>
      <c r="L18" t="s">
        <v>257</v>
      </c>
      <c r="M18" t="s">
        <v>258</v>
      </c>
      <c r="AJ18" t="str">
        <f>'Absolute Thresholds'!B15</f>
        <v>energy resources depletion: non-renewable</v>
      </c>
      <c r="AK18" s="17">
        <f>'Absolute Thresholds'!N15</f>
        <v>3.4756713076423756E-4</v>
      </c>
      <c r="AL18" t="str">
        <f>'Absolute Thresholds'!O15</f>
        <v>MJ / tkm (of HDV in Austria)</v>
      </c>
    </row>
    <row r="19" spans="2:38" x14ac:dyDescent="0.2">
      <c r="K19" t="s">
        <v>37</v>
      </c>
      <c r="L19" t="s">
        <v>216</v>
      </c>
      <c r="M19" t="s">
        <v>168</v>
      </c>
      <c r="AJ19" t="str">
        <f>'Absolute Thresholds'!B16</f>
        <v>material resources: metals/minerals</v>
      </c>
      <c r="AK19" s="17">
        <f>'Absolute Thresholds'!N16</f>
        <v>3.1715500682236677E-9</v>
      </c>
      <c r="AL19" t="str">
        <f>'Absolute Thresholds'!O16</f>
        <v>kg Sb eq / tkm (of HDV in Austria)</v>
      </c>
    </row>
    <row r="20" spans="2:38" x14ac:dyDescent="0.2">
      <c r="K20" t="s">
        <v>38</v>
      </c>
      <c r="L20" t="s">
        <v>217</v>
      </c>
      <c r="M20" t="s">
        <v>169</v>
      </c>
      <c r="AJ20" t="s">
        <v>366</v>
      </c>
      <c r="AK20" s="17"/>
    </row>
    <row r="21" spans="2:38" x14ac:dyDescent="0.2">
      <c r="K21" t="s">
        <v>39</v>
      </c>
      <c r="L21" t="s">
        <v>218</v>
      </c>
      <c r="M21" t="s">
        <v>170</v>
      </c>
      <c r="AK21" s="17"/>
    </row>
    <row r="22" spans="2:38" x14ac:dyDescent="0.2">
      <c r="K22" t="s">
        <v>40</v>
      </c>
      <c r="L22" t="s">
        <v>255</v>
      </c>
      <c r="M22" t="s">
        <v>256</v>
      </c>
      <c r="AK22" s="17"/>
    </row>
    <row r="23" spans="2:38" x14ac:dyDescent="0.2">
      <c r="K23" t="s">
        <v>41</v>
      </c>
      <c r="L23" t="s">
        <v>219</v>
      </c>
      <c r="M23" t="s">
        <v>171</v>
      </c>
    </row>
    <row r="24" spans="2:38" x14ac:dyDescent="0.2">
      <c r="K24" t="s">
        <v>42</v>
      </c>
      <c r="L24" t="s">
        <v>220</v>
      </c>
      <c r="M24" t="s">
        <v>172</v>
      </c>
    </row>
    <row r="25" spans="2:38" x14ac:dyDescent="0.2">
      <c r="K25" t="s">
        <v>43</v>
      </c>
      <c r="L25" t="s">
        <v>221</v>
      </c>
      <c r="M25" t="s">
        <v>173</v>
      </c>
    </row>
    <row r="26" spans="2:38" x14ac:dyDescent="0.2">
      <c r="B26" s="5"/>
      <c r="C26" s="2"/>
      <c r="D26" s="3"/>
      <c r="K26" t="s">
        <v>44</v>
      </c>
      <c r="L26" t="s">
        <v>222</v>
      </c>
      <c r="M26" t="s">
        <v>174</v>
      </c>
    </row>
    <row r="27" spans="2:38" x14ac:dyDescent="0.2">
      <c r="B27" s="5"/>
      <c r="C27" s="2"/>
      <c r="D27" s="3"/>
      <c r="L27" t="s">
        <v>223</v>
      </c>
      <c r="M27" t="s">
        <v>175</v>
      </c>
    </row>
    <row r="28" spans="2:38" x14ac:dyDescent="0.2">
      <c r="B28" s="5"/>
      <c r="C28" s="2"/>
      <c r="D28" s="3"/>
      <c r="L28" t="s">
        <v>224</v>
      </c>
      <c r="M28" t="s">
        <v>176</v>
      </c>
    </row>
    <row r="29" spans="2:38" x14ac:dyDescent="0.2">
      <c r="L29" t="s">
        <v>225</v>
      </c>
      <c r="M29" t="s">
        <v>177</v>
      </c>
    </row>
    <row r="30" spans="2:38" x14ac:dyDescent="0.2">
      <c r="L30" t="s">
        <v>226</v>
      </c>
      <c r="M30" t="s">
        <v>178</v>
      </c>
    </row>
    <row r="31" spans="2:38" x14ac:dyDescent="0.2">
      <c r="L31" t="s">
        <v>227</v>
      </c>
      <c r="M31" t="s">
        <v>179</v>
      </c>
    </row>
    <row r="32" spans="2:38" x14ac:dyDescent="0.2">
      <c r="L32" t="s">
        <v>228</v>
      </c>
      <c r="M32" t="s">
        <v>180</v>
      </c>
    </row>
    <row r="33" spans="12:13" x14ac:dyDescent="0.2">
      <c r="L33" t="s">
        <v>230</v>
      </c>
      <c r="M33" t="s">
        <v>181</v>
      </c>
    </row>
    <row r="34" spans="12:13" x14ac:dyDescent="0.2">
      <c r="L34" t="s">
        <v>231</v>
      </c>
      <c r="M34" t="s">
        <v>182</v>
      </c>
    </row>
    <row r="35" spans="12:13" x14ac:dyDescent="0.2">
      <c r="L35" t="s">
        <v>232</v>
      </c>
      <c r="M35" t="s">
        <v>183</v>
      </c>
    </row>
    <row r="36" spans="12:13" x14ac:dyDescent="0.2">
      <c r="L36" t="s">
        <v>233</v>
      </c>
      <c r="M36" t="s">
        <v>184</v>
      </c>
    </row>
    <row r="37" spans="12:13" x14ac:dyDescent="0.2">
      <c r="L37" t="s">
        <v>234</v>
      </c>
      <c r="M37" t="s">
        <v>185</v>
      </c>
    </row>
    <row r="38" spans="12:13" x14ac:dyDescent="0.2">
      <c r="L38" t="s">
        <v>235</v>
      </c>
      <c r="M38" t="s">
        <v>186</v>
      </c>
    </row>
    <row r="39" spans="12:13" x14ac:dyDescent="0.2">
      <c r="L39" t="s">
        <v>236</v>
      </c>
      <c r="M39" t="s">
        <v>187</v>
      </c>
    </row>
    <row r="40" spans="12:13" x14ac:dyDescent="0.2">
      <c r="L40" t="s">
        <v>237</v>
      </c>
      <c r="M40" t="s">
        <v>188</v>
      </c>
    </row>
    <row r="41" spans="12:13" x14ac:dyDescent="0.2">
      <c r="L41" t="s">
        <v>243</v>
      </c>
      <c r="M41" t="s">
        <v>189</v>
      </c>
    </row>
    <row r="42" spans="12:13" x14ac:dyDescent="0.2">
      <c r="L42" t="s">
        <v>238</v>
      </c>
      <c r="M42" t="s">
        <v>191</v>
      </c>
    </row>
    <row r="43" spans="12:13" x14ac:dyDescent="0.2">
      <c r="L43" t="s">
        <v>239</v>
      </c>
      <c r="M43" t="s">
        <v>190</v>
      </c>
    </row>
    <row r="44" spans="12:13" x14ac:dyDescent="0.2">
      <c r="L44" t="s">
        <v>240</v>
      </c>
      <c r="M44" t="s">
        <v>192</v>
      </c>
    </row>
    <row r="45" spans="12:13" x14ac:dyDescent="0.2">
      <c r="L45" t="s">
        <v>241</v>
      </c>
      <c r="M45" t="s">
        <v>193</v>
      </c>
    </row>
    <row r="46" spans="12:13" x14ac:dyDescent="0.2">
      <c r="L46" t="s">
        <v>242</v>
      </c>
      <c r="M46" t="s">
        <v>194</v>
      </c>
    </row>
    <row r="47" spans="12:13" x14ac:dyDescent="0.2">
      <c r="L47" t="s">
        <v>244</v>
      </c>
      <c r="M47" t="s">
        <v>195</v>
      </c>
    </row>
    <row r="48" spans="12:13" x14ac:dyDescent="0.2">
      <c r="L48" t="s">
        <v>245</v>
      </c>
      <c r="M48" t="s">
        <v>196</v>
      </c>
    </row>
    <row r="49" spans="12:13" x14ac:dyDescent="0.2">
      <c r="L49" t="s">
        <v>246</v>
      </c>
      <c r="M49" t="s">
        <v>197</v>
      </c>
    </row>
    <row r="50" spans="12:13" x14ac:dyDescent="0.2">
      <c r="L50" t="s">
        <v>247</v>
      </c>
      <c r="M50" t="s">
        <v>198</v>
      </c>
    </row>
    <row r="51" spans="12:13" x14ac:dyDescent="0.2">
      <c r="L51" t="s">
        <v>248</v>
      </c>
      <c r="M51" t="s">
        <v>199</v>
      </c>
    </row>
    <row r="52" spans="12:13" x14ac:dyDescent="0.2">
      <c r="L52" t="s">
        <v>249</v>
      </c>
      <c r="M52" t="s">
        <v>200</v>
      </c>
    </row>
    <row r="53" spans="12:13" x14ac:dyDescent="0.2">
      <c r="L53" t="s">
        <v>250</v>
      </c>
      <c r="M53" t="s">
        <v>201</v>
      </c>
    </row>
    <row r="54" spans="12:13" x14ac:dyDescent="0.2">
      <c r="L54" t="s">
        <v>251</v>
      </c>
      <c r="M54" t="s">
        <v>202</v>
      </c>
    </row>
    <row r="55" spans="12:13" x14ac:dyDescent="0.2">
      <c r="L55" t="s">
        <v>252</v>
      </c>
      <c r="M55" t="s">
        <v>203</v>
      </c>
    </row>
    <row r="56" spans="12:13" x14ac:dyDescent="0.2">
      <c r="L56" t="s">
        <v>253</v>
      </c>
      <c r="M56" t="s">
        <v>204</v>
      </c>
    </row>
    <row r="57" spans="12:13" x14ac:dyDescent="0.2">
      <c r="L57" t="s">
        <v>254</v>
      </c>
      <c r="M57" t="s">
        <v>206</v>
      </c>
    </row>
    <row r="66" spans="2:6" ht="17" x14ac:dyDescent="0.2">
      <c r="B66" s="5" t="s">
        <v>290</v>
      </c>
      <c r="C66" s="2" t="s">
        <v>125</v>
      </c>
      <c r="D66" t="s">
        <v>47</v>
      </c>
      <c r="E66" t="s">
        <v>311</v>
      </c>
      <c r="F66" t="s">
        <v>312</v>
      </c>
    </row>
    <row r="67" spans="2:6" x14ac:dyDescent="0.2">
      <c r="B67" s="5"/>
      <c r="C67" s="2" t="s">
        <v>126</v>
      </c>
      <c r="D67" t="s">
        <v>67</v>
      </c>
      <c r="E67">
        <v>15</v>
      </c>
      <c r="F67">
        <v>12</v>
      </c>
    </row>
    <row r="68" spans="2:6" x14ac:dyDescent="0.2">
      <c r="B68" s="5"/>
      <c r="C68" s="2" t="s">
        <v>127</v>
      </c>
      <c r="D68" t="s">
        <v>67</v>
      </c>
      <c r="E68">
        <v>12</v>
      </c>
      <c r="F68">
        <v>8</v>
      </c>
    </row>
    <row r="69" spans="2:6" x14ac:dyDescent="0.2">
      <c r="B69" s="5"/>
      <c r="C69" s="2" t="s">
        <v>128</v>
      </c>
      <c r="D69" t="s">
        <v>67</v>
      </c>
      <c r="E69">
        <v>3</v>
      </c>
      <c r="F69">
        <v>1</v>
      </c>
    </row>
    <row r="70" spans="2:6" x14ac:dyDescent="0.2">
      <c r="B70" s="5"/>
      <c r="C70" s="2" t="s">
        <v>129</v>
      </c>
      <c r="D70" t="s">
        <v>51</v>
      </c>
      <c r="E70">
        <v>0.4</v>
      </c>
      <c r="F70">
        <v>0.25</v>
      </c>
    </row>
    <row r="72" spans="2:6" ht="17" x14ac:dyDescent="0.2">
      <c r="B72" s="5" t="s">
        <v>291</v>
      </c>
      <c r="C72" s="2" t="s">
        <v>125</v>
      </c>
      <c r="D72" t="s">
        <v>47</v>
      </c>
      <c r="E72" t="s">
        <v>293</v>
      </c>
    </row>
    <row r="73" spans="2:6" x14ac:dyDescent="0.2">
      <c r="B73" s="5"/>
      <c r="C73" s="2" t="s">
        <v>126</v>
      </c>
      <c r="D73" t="s">
        <v>67</v>
      </c>
      <c r="E73">
        <v>3</v>
      </c>
    </row>
    <row r="74" spans="2:6" x14ac:dyDescent="0.2">
      <c r="B74" s="5"/>
      <c r="C74" s="2" t="s">
        <v>127</v>
      </c>
      <c r="D74" t="s">
        <v>67</v>
      </c>
      <c r="E74">
        <v>3</v>
      </c>
    </row>
    <row r="75" spans="2:6" x14ac:dyDescent="0.2">
      <c r="B75" s="5"/>
      <c r="C75" s="2" t="s">
        <v>128</v>
      </c>
      <c r="D75" t="s">
        <v>67</v>
      </c>
      <c r="E75">
        <v>2</v>
      </c>
    </row>
    <row r="76" spans="2:6" x14ac:dyDescent="0.2">
      <c r="B76" s="5"/>
      <c r="C76" s="2" t="s">
        <v>129</v>
      </c>
      <c r="D76" t="s">
        <v>51</v>
      </c>
      <c r="E76">
        <v>0.03</v>
      </c>
    </row>
    <row r="78" spans="2:6" ht="17" x14ac:dyDescent="0.2">
      <c r="B78" s="5" t="s">
        <v>124</v>
      </c>
      <c r="C78" s="2" t="s">
        <v>125</v>
      </c>
      <c r="D78" t="s">
        <v>47</v>
      </c>
      <c r="E78" t="s">
        <v>292</v>
      </c>
    </row>
    <row r="79" spans="2:6" x14ac:dyDescent="0.2">
      <c r="B79" s="5"/>
      <c r="C79" s="2" t="s">
        <v>126</v>
      </c>
      <c r="D79" t="s">
        <v>67</v>
      </c>
      <c r="E79">
        <v>3</v>
      </c>
    </row>
    <row r="80" spans="2:6" x14ac:dyDescent="0.2">
      <c r="B80" s="5"/>
      <c r="C80" s="2" t="s">
        <v>127</v>
      </c>
      <c r="D80" t="s">
        <v>67</v>
      </c>
      <c r="E80">
        <v>5</v>
      </c>
    </row>
    <row r="81" spans="2:5" x14ac:dyDescent="0.2">
      <c r="B81" s="5"/>
      <c r="C81" s="2" t="s">
        <v>128</v>
      </c>
      <c r="D81" t="s">
        <v>67</v>
      </c>
      <c r="E81">
        <v>10</v>
      </c>
    </row>
    <row r="82" spans="2:5" x14ac:dyDescent="0.2">
      <c r="B82" s="5"/>
      <c r="C82" s="2" t="s">
        <v>129</v>
      </c>
      <c r="D82" t="s">
        <v>51</v>
      </c>
      <c r="E82">
        <v>0.15</v>
      </c>
    </row>
    <row r="83" spans="2:5" x14ac:dyDescent="0.2">
      <c r="B83" s="5"/>
      <c r="C83" s="2"/>
      <c r="D83" s="3"/>
    </row>
    <row r="84" spans="2:5" ht="17" x14ac:dyDescent="0.2">
      <c r="B84" s="5" t="s">
        <v>130</v>
      </c>
      <c r="C84" s="2" t="s">
        <v>131</v>
      </c>
      <c r="D84" t="s">
        <v>47</v>
      </c>
      <c r="E84" t="s">
        <v>294</v>
      </c>
    </row>
    <row r="85" spans="2:5" x14ac:dyDescent="0.2">
      <c r="B85" s="5"/>
      <c r="C85" s="2" t="s">
        <v>132</v>
      </c>
      <c r="D85" t="s">
        <v>67</v>
      </c>
      <c r="E85">
        <v>5</v>
      </c>
    </row>
    <row r="86" spans="2:5" x14ac:dyDescent="0.2">
      <c r="B86" s="5"/>
      <c r="C86" s="2" t="s">
        <v>133</v>
      </c>
      <c r="D86" t="s">
        <v>67</v>
      </c>
      <c r="E86">
        <v>5</v>
      </c>
    </row>
    <row r="87" spans="2:5" x14ac:dyDescent="0.2">
      <c r="B87" s="5"/>
      <c r="C87" s="2" t="s">
        <v>134</v>
      </c>
      <c r="D87" t="s">
        <v>67</v>
      </c>
      <c r="E87">
        <v>10</v>
      </c>
    </row>
    <row r="88" spans="2:5" x14ac:dyDescent="0.2">
      <c r="B88" s="5"/>
      <c r="C88" s="2" t="s">
        <v>135</v>
      </c>
      <c r="D88" t="s">
        <v>51</v>
      </c>
      <c r="E88">
        <v>0.1</v>
      </c>
    </row>
    <row r="89" spans="2:5" x14ac:dyDescent="0.2">
      <c r="B89" s="5"/>
      <c r="C89" s="2"/>
      <c r="D89" s="3"/>
    </row>
    <row r="90" spans="2:5" ht="17" x14ac:dyDescent="0.2">
      <c r="B90" s="5" t="s">
        <v>136</v>
      </c>
      <c r="C90" s="2" t="s">
        <v>137</v>
      </c>
      <c r="D90" t="s">
        <v>47</v>
      </c>
      <c r="E90" t="s">
        <v>295</v>
      </c>
    </row>
    <row r="91" spans="2:5" x14ac:dyDescent="0.2">
      <c r="B91" s="5"/>
      <c r="C91" s="2" t="s">
        <v>138</v>
      </c>
      <c r="D91" t="s">
        <v>67</v>
      </c>
      <c r="E91">
        <v>5</v>
      </c>
    </row>
    <row r="92" spans="2:5" x14ac:dyDescent="0.2">
      <c r="B92" s="5"/>
      <c r="C92" s="2" t="s">
        <v>139</v>
      </c>
      <c r="D92" t="s">
        <v>67</v>
      </c>
      <c r="E92">
        <v>5</v>
      </c>
    </row>
    <row r="93" spans="2:5" x14ac:dyDescent="0.2">
      <c r="B93" s="5"/>
      <c r="C93" s="2" t="s">
        <v>140</v>
      </c>
      <c r="D93" t="s">
        <v>67</v>
      </c>
      <c r="E93">
        <v>3</v>
      </c>
    </row>
    <row r="94" spans="2:5" x14ac:dyDescent="0.2">
      <c r="B94" s="5"/>
      <c r="C94" s="2" t="s">
        <v>141</v>
      </c>
      <c r="D94" t="s">
        <v>51</v>
      </c>
      <c r="E94">
        <v>0.03</v>
      </c>
    </row>
    <row r="95" spans="2:5" x14ac:dyDescent="0.2">
      <c r="B95" s="5"/>
      <c r="C95" s="2"/>
      <c r="D95" s="3"/>
    </row>
    <row r="96" spans="2:5" ht="17" x14ac:dyDescent="0.2">
      <c r="B96" s="5" t="s">
        <v>142</v>
      </c>
      <c r="C96" s="2" t="s">
        <v>143</v>
      </c>
      <c r="D96" t="s">
        <v>47</v>
      </c>
      <c r="E96" t="s">
        <v>296</v>
      </c>
    </row>
    <row r="97" spans="2:41" x14ac:dyDescent="0.2">
      <c r="B97" s="5"/>
      <c r="C97" s="2" t="s">
        <v>144</v>
      </c>
      <c r="D97" t="s">
        <v>67</v>
      </c>
      <c r="E97">
        <v>5</v>
      </c>
    </row>
    <row r="98" spans="2:41" x14ac:dyDescent="0.2">
      <c r="B98" s="5"/>
      <c r="C98" s="2" t="s">
        <v>145</v>
      </c>
      <c r="D98" t="s">
        <v>67</v>
      </c>
      <c r="E98">
        <v>5</v>
      </c>
    </row>
    <row r="99" spans="2:41" x14ac:dyDescent="0.2">
      <c r="B99" s="5"/>
      <c r="C99" s="2" t="s">
        <v>146</v>
      </c>
      <c r="D99" t="s">
        <v>67</v>
      </c>
      <c r="E99">
        <v>2</v>
      </c>
    </row>
    <row r="100" spans="2:41" x14ac:dyDescent="0.2">
      <c r="B100" s="5"/>
      <c r="C100" s="2" t="s">
        <v>147</v>
      </c>
      <c r="D100" t="s">
        <v>51</v>
      </c>
      <c r="E100">
        <v>0.02</v>
      </c>
    </row>
    <row r="101" spans="2:41" x14ac:dyDescent="0.2">
      <c r="B101" s="5"/>
      <c r="C101" s="2"/>
      <c r="D101" s="3"/>
    </row>
    <row r="102" spans="2:41" ht="17" x14ac:dyDescent="0.2">
      <c r="B102" s="5" t="s">
        <v>148</v>
      </c>
      <c r="C102" s="2" t="s">
        <v>149</v>
      </c>
      <c r="D102" t="s">
        <v>47</v>
      </c>
      <c r="E102" t="s">
        <v>297</v>
      </c>
      <c r="F102" t="s">
        <v>298</v>
      </c>
    </row>
    <row r="103" spans="2:41" ht="18" x14ac:dyDescent="0.2">
      <c r="B103" s="5"/>
      <c r="C103" s="2" t="s">
        <v>150</v>
      </c>
      <c r="D103" t="s">
        <v>67</v>
      </c>
      <c r="E103">
        <v>3</v>
      </c>
      <c r="F103">
        <v>3</v>
      </c>
      <c r="AJ103" s="8"/>
    </row>
    <row r="104" spans="2:41" ht="18" x14ac:dyDescent="0.2">
      <c r="B104" s="5"/>
      <c r="C104" s="2" t="s">
        <v>151</v>
      </c>
      <c r="D104" t="s">
        <v>67</v>
      </c>
      <c r="E104">
        <v>5</v>
      </c>
      <c r="F104">
        <v>6</v>
      </c>
      <c r="AJ104" s="8"/>
      <c r="AN104" s="2"/>
      <c r="AO104" s="3"/>
    </row>
    <row r="105" spans="2:41" ht="18" x14ac:dyDescent="0.2">
      <c r="B105" s="5"/>
      <c r="C105" s="2" t="s">
        <v>152</v>
      </c>
      <c r="D105" t="s">
        <v>67</v>
      </c>
      <c r="E105">
        <v>1</v>
      </c>
      <c r="F105">
        <v>1</v>
      </c>
      <c r="AJ105" s="8"/>
      <c r="AN105" s="2"/>
      <c r="AO105" s="3"/>
    </row>
    <row r="106" spans="2:41" ht="18" x14ac:dyDescent="0.2">
      <c r="B106" s="5"/>
      <c r="C106" s="2" t="s">
        <v>153</v>
      </c>
      <c r="D106" t="s">
        <v>51</v>
      </c>
      <c r="E106">
        <v>0.01</v>
      </c>
      <c r="F106">
        <v>0.01</v>
      </c>
      <c r="AJ106" s="8"/>
      <c r="AN106" s="2"/>
      <c r="AO106" s="3"/>
    </row>
    <row r="107" spans="2:41" ht="19" x14ac:dyDescent="0.2">
      <c r="B107" s="12"/>
      <c r="C107" s="2"/>
      <c r="D107" s="3"/>
      <c r="AJ107" s="8"/>
      <c r="AN107" s="2"/>
      <c r="AO107" s="3"/>
    </row>
    <row r="108" spans="2:41" ht="18" x14ac:dyDescent="0.2">
      <c r="B108" s="4" t="s">
        <v>123</v>
      </c>
      <c r="C108" s="11" t="s">
        <v>46</v>
      </c>
      <c r="D108" s="2"/>
      <c r="E108" t="s">
        <v>47</v>
      </c>
      <c r="F108" s="4" t="s">
        <v>82</v>
      </c>
      <c r="G108" s="4" t="s">
        <v>299</v>
      </c>
      <c r="H108" s="4" t="s">
        <v>303</v>
      </c>
      <c r="I108" s="4" t="s">
        <v>401</v>
      </c>
      <c r="AJ108" s="8"/>
      <c r="AN108" s="2"/>
      <c r="AO108" s="3"/>
    </row>
    <row r="109" spans="2:41" ht="18" x14ac:dyDescent="0.2">
      <c r="C109" s="11" t="s">
        <v>114</v>
      </c>
      <c r="D109" s="2"/>
      <c r="E109" t="s">
        <v>47</v>
      </c>
      <c r="F109" s="9" t="s">
        <v>356</v>
      </c>
      <c r="G109" s="9" t="s">
        <v>55</v>
      </c>
      <c r="H109" t="s">
        <v>304</v>
      </c>
      <c r="I109" t="s">
        <v>55</v>
      </c>
      <c r="AJ109" s="8"/>
    </row>
    <row r="110" spans="2:41" ht="18" x14ac:dyDescent="0.2">
      <c r="C110" s="11" t="s">
        <v>81</v>
      </c>
      <c r="D110" s="2"/>
      <c r="E110" t="s">
        <v>47</v>
      </c>
      <c r="F110" s="9" t="s">
        <v>56</v>
      </c>
      <c r="G110" s="9" t="s">
        <v>302</v>
      </c>
      <c r="H110" t="s">
        <v>56</v>
      </c>
      <c r="I110" t="s">
        <v>302</v>
      </c>
      <c r="AJ110" s="8"/>
    </row>
    <row r="111" spans="2:41" ht="18" x14ac:dyDescent="0.2">
      <c r="C111" s="11" t="s">
        <v>63</v>
      </c>
      <c r="D111" s="2"/>
      <c r="E111" t="s">
        <v>51</v>
      </c>
      <c r="F111" s="9">
        <v>4.8000000000000001E-2</v>
      </c>
      <c r="G111" s="9">
        <v>2.42</v>
      </c>
      <c r="H111">
        <v>8.7999999999999995E-2</v>
      </c>
      <c r="I111">
        <v>2.8</v>
      </c>
      <c r="AJ111" s="8"/>
    </row>
    <row r="112" spans="2:41" ht="18" x14ac:dyDescent="0.2">
      <c r="C112" s="11" t="s">
        <v>64</v>
      </c>
      <c r="E112" t="s">
        <v>67</v>
      </c>
      <c r="F112" s="9">
        <v>6.5</v>
      </c>
      <c r="G112" s="9">
        <v>19.399999999999999</v>
      </c>
      <c r="H112">
        <v>7</v>
      </c>
      <c r="I112">
        <v>17.600000000000001</v>
      </c>
      <c r="AJ112" s="8"/>
    </row>
    <row r="113" spans="3:36" ht="18" x14ac:dyDescent="0.2">
      <c r="C113" s="11" t="s">
        <v>65</v>
      </c>
      <c r="E113" t="s">
        <v>67</v>
      </c>
      <c r="F113" s="9">
        <v>1.8</v>
      </c>
      <c r="G113" s="9">
        <v>11</v>
      </c>
      <c r="H113">
        <v>2.6</v>
      </c>
      <c r="I113">
        <v>4.3</v>
      </c>
      <c r="AJ113" s="8"/>
    </row>
    <row r="114" spans="3:36" ht="18" x14ac:dyDescent="0.2">
      <c r="C114" s="11" t="s">
        <v>66</v>
      </c>
      <c r="E114" t="s">
        <v>67</v>
      </c>
      <c r="F114" s="9">
        <v>1.8</v>
      </c>
      <c r="G114" s="9">
        <v>5</v>
      </c>
      <c r="H114">
        <v>2.6</v>
      </c>
      <c r="I114">
        <v>16.399999999999999</v>
      </c>
      <c r="AJ114" s="8"/>
    </row>
    <row r="115" spans="3:36" x14ac:dyDescent="0.2">
      <c r="C115" s="11" t="s">
        <v>68</v>
      </c>
      <c r="E115" t="s">
        <v>53</v>
      </c>
      <c r="F115" s="9">
        <v>3.6</v>
      </c>
      <c r="G115" s="9">
        <v>3.6</v>
      </c>
      <c r="H115">
        <v>3.7</v>
      </c>
      <c r="I115">
        <v>4.2</v>
      </c>
    </row>
    <row r="116" spans="3:36" x14ac:dyDescent="0.2">
      <c r="C116" s="11" t="s">
        <v>69</v>
      </c>
      <c r="E116" t="s">
        <v>73</v>
      </c>
      <c r="F116" s="9">
        <v>8.5</v>
      </c>
      <c r="G116" s="9">
        <v>254</v>
      </c>
      <c r="H116">
        <v>5.5</v>
      </c>
      <c r="I116">
        <v>95</v>
      </c>
      <c r="L116" t="s">
        <v>410</v>
      </c>
      <c r="M116" t="s">
        <v>80</v>
      </c>
      <c r="N116">
        <f>I115*I116*192/1000*6</f>
        <v>459.64800000000002</v>
      </c>
    </row>
    <row r="117" spans="3:36" x14ac:dyDescent="0.2">
      <c r="C117" s="11" t="s">
        <v>70</v>
      </c>
      <c r="E117" t="s">
        <v>74</v>
      </c>
      <c r="F117" s="9">
        <v>4.05</v>
      </c>
      <c r="G117" s="9">
        <v>141</v>
      </c>
      <c r="H117">
        <v>3.3</v>
      </c>
      <c r="I117">
        <v>162</v>
      </c>
    </row>
    <row r="118" spans="3:36" x14ac:dyDescent="0.2">
      <c r="C118" s="11" t="s">
        <v>71</v>
      </c>
      <c r="E118" t="s">
        <v>75</v>
      </c>
      <c r="F118" s="9">
        <v>14</v>
      </c>
      <c r="G118" s="9">
        <v>468.2</v>
      </c>
      <c r="H118">
        <v>12.5</v>
      </c>
      <c r="I118">
        <v>580.79999999999995</v>
      </c>
    </row>
    <row r="119" spans="3:36" x14ac:dyDescent="0.2">
      <c r="C119" s="11" t="s">
        <v>72</v>
      </c>
      <c r="E119" t="s">
        <v>76</v>
      </c>
      <c r="F119" s="9">
        <v>302</v>
      </c>
      <c r="G119" s="9">
        <v>193</v>
      </c>
      <c r="H119">
        <v>143</v>
      </c>
      <c r="I119">
        <v>203</v>
      </c>
    </row>
    <row r="120" spans="3:36" x14ac:dyDescent="0.2">
      <c r="C120" s="11" t="s">
        <v>360</v>
      </c>
      <c r="E120" t="s">
        <v>47</v>
      </c>
      <c r="F120" s="9" t="s">
        <v>358</v>
      </c>
      <c r="G120" s="9" t="s">
        <v>358</v>
      </c>
      <c r="H120" t="s">
        <v>359</v>
      </c>
      <c r="I120" t="s">
        <v>358</v>
      </c>
    </row>
    <row r="121" spans="3:36" x14ac:dyDescent="0.2">
      <c r="C121" s="11" t="s">
        <v>77</v>
      </c>
      <c r="E121" t="s">
        <v>58</v>
      </c>
      <c r="F121" s="9">
        <v>3000</v>
      </c>
      <c r="G121" s="9">
        <v>7000</v>
      </c>
      <c r="H121">
        <v>2000</v>
      </c>
      <c r="I121">
        <v>7000</v>
      </c>
    </row>
    <row r="122" spans="3:36" x14ac:dyDescent="0.2">
      <c r="C122" s="11" t="s">
        <v>300</v>
      </c>
      <c r="E122" t="s">
        <v>47</v>
      </c>
      <c r="F122" s="18" t="s">
        <v>400</v>
      </c>
      <c r="G122" s="18" t="s">
        <v>301</v>
      </c>
      <c r="I122" t="s">
        <v>399</v>
      </c>
    </row>
    <row r="124" spans="3:36" x14ac:dyDescent="0.2">
      <c r="C124" s="16" t="s">
        <v>361</v>
      </c>
    </row>
  </sheetData>
  <mergeCells count="4">
    <mergeCell ref="B3:J3"/>
    <mergeCell ref="O3:R3"/>
    <mergeCell ref="K4:M4"/>
    <mergeCell ref="K5:M5"/>
  </mergeCells>
  <hyperlinks>
    <hyperlink ref="F122" r:id="rId1" xr:uid="{950FAED2-63A1-514E-B7D5-58E0C8CAED31}"/>
    <hyperlink ref="G122" r:id="rId2" xr:uid="{79726B9B-4740-A14E-80F0-DECB8CB2752D}"/>
  </hyperlinks>
  <pageMargins left="0.7" right="0.7" top="0.78740157499999996" bottom="0.78740157499999996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Selection</vt:lpstr>
      <vt:lpstr>Input Optimization</vt:lpstr>
      <vt:lpstr>Absolute Thresholds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Katzer, Nicolas (nicolas.katzer@uni-graz.at)</dc:creator>
  <cp:lastModifiedBy>Katzer, Nicolas (nicolas.katzer@uni-graz.at)</cp:lastModifiedBy>
  <dcterms:created xsi:type="dcterms:W3CDTF">2024-10-07T06:17:29Z</dcterms:created>
  <dcterms:modified xsi:type="dcterms:W3CDTF">2025-05-07T18:15:11Z</dcterms:modified>
</cp:coreProperties>
</file>